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Анна\Desktop\"/>
    </mc:Choice>
  </mc:AlternateContent>
  <xr:revisionPtr revIDLastSave="0" documentId="13_ncr:1_{BDB2DA71-1059-4FB0-B2F8-A2ADE3FFBE4C}" xr6:coauthVersionLast="45" xr6:coauthVersionMax="45" xr10:uidLastSave="{00000000-0000-0000-0000-000000000000}"/>
  <bookViews>
    <workbookView xWindow="-120" yWindow="-120" windowWidth="29040" windowHeight="15840" xr2:uid="{9150FD05-1B1C-4282-9853-14F77A84E593}"/>
  </bookViews>
  <sheets>
    <sheet name="Лист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I61" i="1" l="1"/>
  <c r="AJ61" i="1"/>
  <c r="AK61" i="1"/>
  <c r="AL61" i="1"/>
  <c r="AH61" i="1"/>
  <c r="AG61" i="1"/>
  <c r="AF61" i="1"/>
  <c r="AE61" i="1"/>
  <c r="AD61" i="1"/>
  <c r="AC61" i="1"/>
  <c r="Y61" i="1"/>
  <c r="Z61" i="1"/>
  <c r="AA61" i="1"/>
  <c r="AB61" i="1"/>
  <c r="X61" i="1"/>
  <c r="AK60" i="1"/>
  <c r="AL60" i="1"/>
  <c r="AJ60" i="1"/>
  <c r="AH60" i="1"/>
  <c r="AI60" i="1"/>
  <c r="AG60" i="1"/>
  <c r="AF60" i="1"/>
  <c r="AE60" i="1"/>
  <c r="AD60" i="1"/>
  <c r="AC60" i="1"/>
  <c r="Y60" i="1"/>
  <c r="Z60" i="1"/>
  <c r="AA60" i="1"/>
  <c r="AB60" i="1"/>
  <c r="X60" i="1"/>
  <c r="AI59" i="1"/>
  <c r="AJ59" i="1"/>
  <c r="AK59" i="1"/>
  <c r="AL59" i="1"/>
  <c r="AH59" i="1"/>
  <c r="AE59" i="1"/>
  <c r="AF59" i="1"/>
  <c r="AG59" i="1"/>
  <c r="AD59" i="1"/>
  <c r="Y59" i="1"/>
  <c r="Z59" i="1"/>
  <c r="AA59" i="1"/>
  <c r="AB59" i="1"/>
  <c r="AC59" i="1"/>
  <c r="X59" i="1"/>
  <c r="AI58" i="1"/>
  <c r="AJ58" i="1"/>
  <c r="AK58" i="1"/>
  <c r="AL58" i="1"/>
  <c r="AH58" i="1"/>
  <c r="Y58" i="1"/>
  <c r="Z58" i="1"/>
  <c r="AA58" i="1"/>
  <c r="AB58" i="1"/>
  <c r="AC58" i="1"/>
  <c r="AD58" i="1"/>
  <c r="AE58" i="1"/>
  <c r="AF58" i="1"/>
  <c r="AG58" i="1"/>
  <c r="X58" i="1"/>
  <c r="Y57" i="1"/>
  <c r="Z57" i="1"/>
  <c r="AA57" i="1"/>
  <c r="AB57" i="1"/>
  <c r="AC57" i="1"/>
  <c r="AD57" i="1"/>
  <c r="AE57" i="1"/>
  <c r="AF57" i="1"/>
  <c r="AG57" i="1"/>
  <c r="AH57" i="1"/>
  <c r="AI57" i="1"/>
  <c r="AJ57" i="1"/>
  <c r="AK57" i="1"/>
  <c r="AL57" i="1"/>
  <c r="X57" i="1"/>
  <c r="X22" i="1" l="1"/>
  <c r="X21" i="1"/>
  <c r="AL20" i="1"/>
  <c r="X20" i="1"/>
  <c r="Y19" i="1"/>
  <c r="Z19" i="1"/>
  <c r="AA19" i="1"/>
  <c r="AB19" i="1"/>
  <c r="AC19" i="1"/>
  <c r="AD19" i="1"/>
  <c r="AE19" i="1"/>
  <c r="AF19" i="1"/>
  <c r="AG19" i="1"/>
  <c r="AH19" i="1"/>
  <c r="AI19" i="1"/>
  <c r="AJ19" i="1"/>
  <c r="AK19" i="1"/>
  <c r="AL19" i="1"/>
  <c r="X19" i="1"/>
  <c r="AL18" i="1"/>
  <c r="X18" i="1"/>
  <c r="Y17" i="1"/>
  <c r="Z17" i="1"/>
  <c r="AA17" i="1"/>
  <c r="AB17" i="1"/>
  <c r="AC17" i="1"/>
  <c r="AD17" i="1"/>
  <c r="AE17" i="1"/>
  <c r="AF17" i="1"/>
  <c r="AG17" i="1"/>
  <c r="AH17" i="1"/>
  <c r="AI17" i="1"/>
  <c r="AJ17" i="1"/>
  <c r="AK17" i="1"/>
  <c r="AL17" i="1"/>
  <c r="X17" i="1"/>
  <c r="Y16" i="1"/>
  <c r="Z16" i="1"/>
  <c r="AA16" i="1"/>
  <c r="AB16" i="1"/>
  <c r="AC16" i="1"/>
  <c r="AD16" i="1"/>
  <c r="AE16" i="1"/>
  <c r="AF16" i="1"/>
  <c r="AG16" i="1"/>
  <c r="AH16" i="1"/>
  <c r="AI16" i="1"/>
  <c r="AJ16" i="1"/>
  <c r="AK16" i="1"/>
  <c r="AL16" i="1"/>
  <c r="X16" i="1"/>
  <c r="Y15" i="1"/>
  <c r="Z15" i="1"/>
  <c r="AA15" i="1"/>
  <c r="AB15" i="1"/>
  <c r="AC15" i="1"/>
  <c r="AD15" i="1"/>
  <c r="AE15" i="1"/>
  <c r="AF15" i="1"/>
  <c r="AG15" i="1"/>
  <c r="AH15" i="1"/>
  <c r="AI15" i="1"/>
  <c r="AJ15" i="1"/>
  <c r="AK15" i="1"/>
  <c r="AL15" i="1"/>
  <c r="X15" i="1"/>
  <c r="X11" i="1"/>
  <c r="X10" i="1"/>
  <c r="AL9" i="1"/>
  <c r="X8" i="1"/>
  <c r="X9" i="1"/>
  <c r="AH8" i="1"/>
  <c r="AI8" i="1"/>
  <c r="AJ8" i="1"/>
  <c r="AK8" i="1"/>
  <c r="AL8" i="1"/>
  <c r="AG8" i="1"/>
  <c r="Y8" i="1"/>
  <c r="Z8" i="1"/>
  <c r="AA8" i="1"/>
  <c r="AL7" i="1"/>
  <c r="X7" i="1"/>
  <c r="AH6" i="1"/>
  <c r="AI6" i="1"/>
  <c r="AJ6" i="1"/>
  <c r="AK6" i="1"/>
  <c r="AL6" i="1"/>
  <c r="AG6" i="1"/>
  <c r="AF6" i="1"/>
  <c r="AE6" i="1"/>
  <c r="AD6" i="1"/>
  <c r="AC6" i="1"/>
  <c r="Y6" i="1"/>
  <c r="Z6" i="1"/>
  <c r="AA6" i="1"/>
  <c r="AB6" i="1"/>
  <c r="X6" i="1"/>
  <c r="Y5" i="1"/>
  <c r="Z5" i="1"/>
  <c r="AA5" i="1"/>
  <c r="AB5" i="1"/>
  <c r="AC5" i="1"/>
  <c r="AD5" i="1"/>
  <c r="AE5" i="1"/>
  <c r="AF5" i="1"/>
  <c r="AG5" i="1"/>
  <c r="AH5" i="1"/>
  <c r="AI5" i="1"/>
  <c r="AJ5" i="1"/>
  <c r="AK5" i="1"/>
  <c r="AL5" i="1"/>
  <c r="X5" i="1"/>
  <c r="T67" i="1"/>
  <c r="T57" i="1"/>
  <c r="F62" i="1"/>
  <c r="G49" i="1"/>
  <c r="H49" i="1"/>
  <c r="I49" i="1"/>
  <c r="F49" i="1"/>
  <c r="F44" i="1"/>
  <c r="T54" i="1"/>
  <c r="T44" i="1"/>
  <c r="O54" i="1"/>
  <c r="P54" i="1"/>
  <c r="Q54" i="1"/>
  <c r="R54" i="1"/>
  <c r="S54" i="1"/>
  <c r="F57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T41" i="1"/>
  <c r="F36" i="1"/>
  <c r="T32" i="1"/>
  <c r="T33" i="1"/>
  <c r="T34" i="1"/>
  <c r="T35" i="1"/>
  <c r="T36" i="1"/>
  <c r="T37" i="1"/>
  <c r="T38" i="1"/>
  <c r="T39" i="1"/>
  <c r="T40" i="1"/>
  <c r="F32" i="1"/>
  <c r="F33" i="1"/>
  <c r="F34" i="1"/>
  <c r="F35" i="1"/>
  <c r="T31" i="1"/>
  <c r="F31" i="1"/>
  <c r="F4" i="1"/>
  <c r="L7" i="1" l="1"/>
  <c r="K9" i="1"/>
  <c r="J49" i="1" s="1"/>
  <c r="AB8" i="1" s="1"/>
  <c r="L9" i="1"/>
  <c r="L10" i="1"/>
  <c r="M9" i="1"/>
  <c r="M10" i="1"/>
  <c r="M11" i="1"/>
  <c r="L51" i="1" s="1"/>
  <c r="AD8" i="1" s="1"/>
  <c r="N9" i="1"/>
  <c r="N10" i="1"/>
  <c r="N11" i="1"/>
  <c r="N12" i="1"/>
  <c r="M52" i="1" s="1"/>
  <c r="AE8" i="1" s="1"/>
  <c r="O9" i="1"/>
  <c r="O10" i="1"/>
  <c r="O11" i="1"/>
  <c r="O12" i="1"/>
  <c r="O13" i="1"/>
  <c r="N53" i="1" s="1"/>
  <c r="AF8" i="1" s="1"/>
  <c r="P9" i="1"/>
  <c r="P10" i="1"/>
  <c r="P11" i="1"/>
  <c r="P12" i="1"/>
  <c r="P13" i="1"/>
  <c r="Q9" i="1"/>
  <c r="Q10" i="1"/>
  <c r="Q11" i="1"/>
  <c r="Q12" i="1"/>
  <c r="Q13" i="1"/>
  <c r="R9" i="1"/>
  <c r="R10" i="1"/>
  <c r="R11" i="1"/>
  <c r="R12" i="1"/>
  <c r="R13" i="1"/>
  <c r="S9" i="1"/>
  <c r="S10" i="1"/>
  <c r="S11" i="1"/>
  <c r="S12" i="1"/>
  <c r="S13" i="1"/>
  <c r="K5" i="1"/>
  <c r="L5" i="1"/>
  <c r="M5" i="1"/>
  <c r="N5" i="1"/>
  <c r="O5" i="1"/>
  <c r="P5" i="1"/>
  <c r="Q5" i="1"/>
  <c r="R5" i="1"/>
  <c r="S5" i="1"/>
  <c r="K6" i="1"/>
  <c r="L6" i="1"/>
  <c r="M6" i="1"/>
  <c r="N6" i="1"/>
  <c r="O6" i="1"/>
  <c r="P6" i="1"/>
  <c r="Q6" i="1"/>
  <c r="R6" i="1"/>
  <c r="S6" i="1"/>
  <c r="K7" i="1"/>
  <c r="M7" i="1"/>
  <c r="N7" i="1"/>
  <c r="O7" i="1"/>
  <c r="P7" i="1"/>
  <c r="Q7" i="1"/>
  <c r="R7" i="1"/>
  <c r="S7" i="1"/>
  <c r="K8" i="1"/>
  <c r="L8" i="1"/>
  <c r="M8" i="1"/>
  <c r="N8" i="1"/>
  <c r="O8" i="1"/>
  <c r="P8" i="1"/>
  <c r="Q8" i="1"/>
  <c r="R8" i="1"/>
  <c r="S8" i="1"/>
  <c r="G6" i="1"/>
  <c r="H6" i="1"/>
  <c r="I6" i="1"/>
  <c r="J6" i="1"/>
  <c r="G7" i="1"/>
  <c r="F47" i="1" s="1"/>
  <c r="F60" i="1" s="1"/>
  <c r="H7" i="1"/>
  <c r="I7" i="1"/>
  <c r="J7" i="1"/>
  <c r="G8" i="1"/>
  <c r="F48" i="1" s="1"/>
  <c r="F61" i="1" s="1"/>
  <c r="H8" i="1"/>
  <c r="I8" i="1"/>
  <c r="J8" i="1"/>
  <c r="H5" i="1"/>
  <c r="I5" i="1"/>
  <c r="J5" i="1"/>
  <c r="G5" i="1"/>
  <c r="F45" i="1" s="1"/>
  <c r="F58" i="1" s="1"/>
  <c r="H4" i="1"/>
  <c r="I4" i="1"/>
  <c r="J4" i="1"/>
  <c r="K4" i="1"/>
  <c r="L4" i="1"/>
  <c r="M4" i="1"/>
  <c r="N4" i="1"/>
  <c r="O4" i="1"/>
  <c r="P4" i="1"/>
  <c r="Q4" i="1"/>
  <c r="R4" i="1"/>
  <c r="S4" i="1"/>
  <c r="G4" i="1"/>
  <c r="T13" i="1"/>
  <c r="H15" i="1"/>
  <c r="I15" i="1" s="1"/>
  <c r="J15" i="1" s="1"/>
  <c r="K15" i="1" s="1"/>
  <c r="L15" i="1" s="1"/>
  <c r="M15" i="1" s="1"/>
  <c r="N15" i="1" s="1"/>
  <c r="O15" i="1" s="1"/>
  <c r="P15" i="1" s="1"/>
  <c r="Q15" i="1" s="1"/>
  <c r="R15" i="1" s="1"/>
  <c r="S15" i="1" s="1"/>
  <c r="T15" i="1" s="1"/>
  <c r="G15" i="1"/>
  <c r="K50" i="1" l="1"/>
  <c r="AC8" i="1" s="1"/>
  <c r="L38" i="1"/>
  <c r="P49" i="1"/>
  <c r="L47" i="1"/>
  <c r="N50" i="1"/>
  <c r="Q52" i="1"/>
  <c r="H48" i="1"/>
  <c r="N47" i="1"/>
  <c r="N46" i="1"/>
  <c r="P51" i="1"/>
  <c r="H46" i="1"/>
  <c r="M49" i="1"/>
  <c r="K48" i="1"/>
  <c r="O45" i="1"/>
  <c r="L50" i="1"/>
  <c r="I45" i="1"/>
  <c r="H47" i="1"/>
  <c r="Q48" i="1"/>
  <c r="N52" i="1"/>
  <c r="Q53" i="1"/>
  <c r="N51" i="1"/>
  <c r="O48" i="1"/>
  <c r="K45" i="1"/>
  <c r="P47" i="1"/>
  <c r="L46" i="1"/>
  <c r="P46" i="1"/>
  <c r="P50" i="1"/>
  <c r="I46" i="1"/>
  <c r="I47" i="1"/>
  <c r="J48" i="1"/>
  <c r="I48" i="1"/>
  <c r="O47" i="1"/>
  <c r="O46" i="1"/>
  <c r="L45" i="1"/>
  <c r="Q45" i="1"/>
  <c r="P45" i="1"/>
  <c r="M45" i="1"/>
  <c r="L49" i="1"/>
  <c r="K49" i="1"/>
  <c r="M48" i="1"/>
  <c r="M51" i="1"/>
  <c r="M50" i="1"/>
  <c r="N48" i="1"/>
  <c r="O53" i="1"/>
  <c r="Q50" i="1"/>
  <c r="O52" i="1"/>
  <c r="Q51" i="1"/>
  <c r="S52" i="1"/>
  <c r="T52" i="1"/>
  <c r="T65" i="1" s="1"/>
  <c r="R52" i="1"/>
  <c r="O51" i="1"/>
  <c r="R53" i="1"/>
  <c r="S53" i="1"/>
  <c r="T53" i="1"/>
  <c r="T66" i="1" s="1"/>
  <c r="R51" i="1"/>
  <c r="T51" i="1"/>
  <c r="T64" i="1" s="1"/>
  <c r="S51" i="1"/>
  <c r="P53" i="1"/>
  <c r="O50" i="1"/>
  <c r="T50" i="1"/>
  <c r="T63" i="1" s="1"/>
  <c r="R50" i="1"/>
  <c r="S50" i="1"/>
  <c r="P52" i="1"/>
  <c r="J47" i="1"/>
  <c r="T47" i="1"/>
  <c r="T60" i="1" s="1"/>
  <c r="S47" i="1"/>
  <c r="R47" i="1"/>
  <c r="J46" i="1"/>
  <c r="G47" i="1"/>
  <c r="P48" i="1"/>
  <c r="Q47" i="1"/>
  <c r="T49" i="1"/>
  <c r="T62" i="1" s="1"/>
  <c r="R49" i="1"/>
  <c r="S49" i="1"/>
  <c r="N49" i="1"/>
  <c r="Q49" i="1"/>
  <c r="R48" i="1"/>
  <c r="S48" i="1"/>
  <c r="T48" i="1"/>
  <c r="T61" i="1" s="1"/>
  <c r="G48" i="1"/>
  <c r="L48" i="1"/>
  <c r="M47" i="1"/>
  <c r="O49" i="1"/>
  <c r="K47" i="1"/>
  <c r="Q46" i="1"/>
  <c r="S45" i="1"/>
  <c r="T45" i="1"/>
  <c r="T58" i="1" s="1"/>
  <c r="R45" i="1"/>
  <c r="J45" i="1"/>
  <c r="K46" i="1"/>
  <c r="R46" i="1"/>
  <c r="T46" i="1"/>
  <c r="T59" i="1" s="1"/>
  <c r="S46" i="1"/>
  <c r="M46" i="1"/>
  <c r="N45" i="1"/>
  <c r="H45" i="1"/>
  <c r="G45" i="1"/>
  <c r="G46" i="1"/>
  <c r="F46" i="1"/>
  <c r="F59" i="1" s="1"/>
  <c r="S37" i="1"/>
  <c r="G31" i="1"/>
  <c r="G33" i="1"/>
  <c r="J35" i="1"/>
  <c r="S36" i="1"/>
  <c r="K36" i="1"/>
  <c r="K35" i="1"/>
  <c r="L32" i="1"/>
  <c r="L34" i="1"/>
  <c r="M31" i="1"/>
  <c r="M33" i="1"/>
  <c r="R41" i="1"/>
  <c r="Q38" i="1"/>
  <c r="O40" i="1"/>
  <c r="M39" i="1"/>
  <c r="L36" i="1"/>
  <c r="O41" i="1"/>
  <c r="R36" i="1"/>
  <c r="O39" i="1"/>
  <c r="H35" i="1"/>
  <c r="Q36" i="1"/>
  <c r="R35" i="1"/>
  <c r="R34" i="1"/>
  <c r="R32" i="1"/>
  <c r="S31" i="1"/>
  <c r="S33" i="1"/>
  <c r="K31" i="1"/>
  <c r="K33" i="1"/>
  <c r="R39" i="1"/>
  <c r="P41" i="1"/>
  <c r="O38" i="1"/>
  <c r="M37" i="1"/>
  <c r="M35" i="1"/>
  <c r="N37" i="1"/>
  <c r="S32" i="1"/>
  <c r="S34" i="1"/>
  <c r="R40" i="1"/>
  <c r="G35" i="1"/>
  <c r="P36" i="1"/>
  <c r="Q35" i="1"/>
  <c r="Q34" i="1"/>
  <c r="Q32" i="1"/>
  <c r="R33" i="1"/>
  <c r="R31" i="1"/>
  <c r="S41" i="1"/>
  <c r="R38" i="1"/>
  <c r="P40" i="1"/>
  <c r="O37" i="1"/>
  <c r="G36" i="1"/>
  <c r="N33" i="1"/>
  <c r="N31" i="1"/>
  <c r="S35" i="1"/>
  <c r="M38" i="1"/>
  <c r="J36" i="1"/>
  <c r="J34" i="1"/>
  <c r="J32" i="1"/>
  <c r="O36" i="1"/>
  <c r="P35" i="1"/>
  <c r="P32" i="1"/>
  <c r="P34" i="1"/>
  <c r="Q33" i="1"/>
  <c r="Q31" i="1"/>
  <c r="S40" i="1"/>
  <c r="R37" i="1"/>
  <c r="P39" i="1"/>
  <c r="N40" i="1"/>
  <c r="L37" i="1"/>
  <c r="M32" i="1"/>
  <c r="M34" i="1"/>
  <c r="I35" i="1"/>
  <c r="Q37" i="1"/>
  <c r="H33" i="1"/>
  <c r="H31" i="1"/>
  <c r="I36" i="1"/>
  <c r="I34" i="1"/>
  <c r="I32" i="1"/>
  <c r="N36" i="1"/>
  <c r="O35" i="1"/>
  <c r="O32" i="1"/>
  <c r="O34" i="1"/>
  <c r="P33" i="1"/>
  <c r="P31" i="1"/>
  <c r="S39" i="1"/>
  <c r="Q41" i="1"/>
  <c r="P38" i="1"/>
  <c r="N39" i="1"/>
  <c r="K37" i="1"/>
  <c r="G32" i="1"/>
  <c r="G34" i="1"/>
  <c r="Q39" i="1"/>
  <c r="J33" i="1"/>
  <c r="J31" i="1"/>
  <c r="K32" i="1"/>
  <c r="K34" i="1"/>
  <c r="L31" i="1"/>
  <c r="L33" i="1"/>
  <c r="I33" i="1"/>
  <c r="I31" i="1"/>
  <c r="H36" i="1"/>
  <c r="H32" i="1"/>
  <c r="H34" i="1"/>
  <c r="M36" i="1"/>
  <c r="N35" i="1"/>
  <c r="N32" i="1"/>
  <c r="N34" i="1"/>
  <c r="O33" i="1"/>
  <c r="O31" i="1"/>
  <c r="S38" i="1"/>
  <c r="Q40" i="1"/>
  <c r="P37" i="1"/>
  <c r="N38" i="1"/>
  <c r="L35" i="1"/>
  <c r="T12" i="1"/>
  <c r="T11" i="1" s="1"/>
  <c r="T10" i="1" s="1"/>
  <c r="T9" i="1" s="1"/>
  <c r="T8" i="1" s="1"/>
  <c r="T7" i="1" s="1"/>
  <c r="T6" i="1" s="1"/>
  <c r="T5" i="1" s="1"/>
  <c r="T4" i="1" s="1"/>
  <c r="F8" i="1"/>
  <c r="F7" i="1" s="1"/>
  <c r="F6" i="1" s="1"/>
  <c r="F5" i="1" s="1"/>
  <c r="E13" i="1"/>
  <c r="E12" i="1" s="1"/>
  <c r="E11" i="1" s="1"/>
  <c r="E10" i="1" s="1"/>
  <c r="E9" i="1" s="1"/>
  <c r="E8" i="1" s="1"/>
  <c r="E7" i="1" s="1"/>
  <c r="E6" i="1" s="1"/>
  <c r="E5" i="1" s="1"/>
  <c r="E4" i="1" s="1"/>
  <c r="B5" i="1"/>
  <c r="H60" i="1" l="1"/>
  <c r="N61" i="1"/>
  <c r="Q65" i="1"/>
  <c r="N63" i="1"/>
  <c r="P60" i="1"/>
  <c r="L60" i="1"/>
  <c r="P62" i="1"/>
  <c r="H61" i="1"/>
  <c r="I58" i="1"/>
  <c r="L64" i="1"/>
  <c r="AD9" i="1" s="1"/>
  <c r="AD7" i="1"/>
  <c r="L63" i="1"/>
  <c r="M64" i="1"/>
  <c r="M65" i="1"/>
  <c r="AE9" i="1" s="1"/>
  <c r="AE7" i="1"/>
  <c r="O63" i="1"/>
  <c r="P67" i="1"/>
  <c r="AH9" i="1" s="1"/>
  <c r="AH7" i="1"/>
  <c r="Q67" i="1"/>
  <c r="AI9" i="1" s="1"/>
  <c r="AI7" i="1"/>
  <c r="S67" i="1"/>
  <c r="AK9" i="1" s="1"/>
  <c r="AK7" i="1"/>
  <c r="R67" i="1"/>
  <c r="AJ9" i="1" s="1"/>
  <c r="AJ7" i="1"/>
  <c r="O67" i="1"/>
  <c r="AG9" i="1" s="1"/>
  <c r="AG7" i="1"/>
  <c r="N66" i="1"/>
  <c r="AF9" i="1" s="1"/>
  <c r="AF7" i="1"/>
  <c r="H62" i="1"/>
  <c r="Z9" i="1" s="1"/>
  <c r="Z7" i="1"/>
  <c r="I62" i="1"/>
  <c r="AA9" i="1" s="1"/>
  <c r="AA7" i="1"/>
  <c r="G62" i="1"/>
  <c r="Y9" i="1" s="1"/>
  <c r="Y10" i="1" s="1"/>
  <c r="Y7" i="1"/>
  <c r="K63" i="1"/>
  <c r="AC9" i="1" s="1"/>
  <c r="AC7" i="1"/>
  <c r="J62" i="1"/>
  <c r="AB9" i="1" s="1"/>
  <c r="AB7" i="1"/>
  <c r="Q57" i="1"/>
  <c r="AI20" i="1" s="1"/>
  <c r="AI18" i="1"/>
  <c r="J57" i="1"/>
  <c r="AB20" i="1" s="1"/>
  <c r="AB18" i="1"/>
  <c r="R57" i="1"/>
  <c r="AJ20" i="1" s="1"/>
  <c r="AJ18" i="1"/>
  <c r="I57" i="1"/>
  <c r="AA20" i="1" s="1"/>
  <c r="AA18" i="1"/>
  <c r="P57" i="1"/>
  <c r="AH20" i="1" s="1"/>
  <c r="AH18" i="1"/>
  <c r="K57" i="1"/>
  <c r="AC20" i="1" s="1"/>
  <c r="AC18" i="1"/>
  <c r="O57" i="1"/>
  <c r="AG20" i="1" s="1"/>
  <c r="AG18" i="1"/>
  <c r="M57" i="1"/>
  <c r="AE20" i="1" s="1"/>
  <c r="AE18" i="1"/>
  <c r="G57" i="1"/>
  <c r="Y20" i="1" s="1"/>
  <c r="Y21" i="1" s="1"/>
  <c r="Y22" i="1" s="1"/>
  <c r="Y18" i="1"/>
  <c r="L57" i="1"/>
  <c r="AD20" i="1" s="1"/>
  <c r="AD18" i="1"/>
  <c r="N57" i="1"/>
  <c r="AF20" i="1" s="1"/>
  <c r="AF18" i="1"/>
  <c r="S57" i="1"/>
  <c r="AK20" i="1" s="1"/>
  <c r="AK18" i="1"/>
  <c r="H57" i="1"/>
  <c r="Z20" i="1" s="1"/>
  <c r="Z18" i="1"/>
  <c r="N60" i="1"/>
  <c r="P64" i="1"/>
  <c r="H59" i="1"/>
  <c r="N59" i="1"/>
  <c r="M62" i="1"/>
  <c r="K61" i="1"/>
  <c r="O58" i="1"/>
  <c r="Q61" i="1"/>
  <c r="I59" i="1"/>
  <c r="N65" i="1"/>
  <c r="Q66" i="1"/>
  <c r="O61" i="1"/>
  <c r="K58" i="1"/>
  <c r="L59" i="1"/>
  <c r="N64" i="1"/>
  <c r="P59" i="1"/>
  <c r="P63" i="1"/>
  <c r="I60" i="1"/>
  <c r="L62" i="1"/>
  <c r="J61" i="1"/>
  <c r="Q63" i="1"/>
  <c r="M58" i="1"/>
  <c r="I61" i="1"/>
  <c r="K62" i="1"/>
  <c r="O60" i="1"/>
  <c r="M61" i="1"/>
  <c r="J60" i="1"/>
  <c r="O59" i="1"/>
  <c r="M60" i="1"/>
  <c r="M63" i="1"/>
  <c r="L58" i="1"/>
  <c r="Q58" i="1"/>
  <c r="S63" i="1"/>
  <c r="K60" i="1"/>
  <c r="J59" i="1"/>
  <c r="P58" i="1"/>
  <c r="Q64" i="1"/>
  <c r="Q60" i="1"/>
  <c r="R66" i="1"/>
  <c r="S60" i="1"/>
  <c r="G60" i="1"/>
  <c r="O65" i="1"/>
  <c r="R63" i="1"/>
  <c r="S66" i="1"/>
  <c r="R62" i="1"/>
  <c r="P66" i="1"/>
  <c r="O64" i="1"/>
  <c r="O66" i="1"/>
  <c r="S64" i="1"/>
  <c r="R65" i="1"/>
  <c r="P65" i="1"/>
  <c r="R64" i="1"/>
  <c r="S65" i="1"/>
  <c r="L61" i="1"/>
  <c r="S61" i="1"/>
  <c r="N58" i="1"/>
  <c r="R58" i="1"/>
  <c r="G61" i="1"/>
  <c r="R61" i="1"/>
  <c r="Q62" i="1"/>
  <c r="P61" i="1"/>
  <c r="N62" i="1"/>
  <c r="R60" i="1"/>
  <c r="O62" i="1"/>
  <c r="S62" i="1"/>
  <c r="M59" i="1"/>
  <c r="S58" i="1"/>
  <c r="Q59" i="1"/>
  <c r="S59" i="1"/>
  <c r="G59" i="1"/>
  <c r="K59" i="1"/>
  <c r="R59" i="1"/>
  <c r="H58" i="1"/>
  <c r="J58" i="1"/>
  <c r="G58" i="1"/>
  <c r="Z21" i="1" l="1"/>
  <c r="AA21" i="1" s="1"/>
  <c r="Z10" i="1"/>
  <c r="Y11" i="1"/>
  <c r="Z22" i="1" l="1"/>
  <c r="AA10" i="1"/>
  <c r="Z11" i="1"/>
  <c r="AB21" i="1"/>
  <c r="AA22" i="1"/>
  <c r="AB10" i="1" l="1"/>
  <c r="AA11" i="1"/>
  <c r="AC21" i="1"/>
  <c r="AB22" i="1"/>
  <c r="AC10" i="1" l="1"/>
  <c r="AB11" i="1"/>
  <c r="AD21" i="1"/>
  <c r="AC22" i="1"/>
  <c r="AD10" i="1" l="1"/>
  <c r="AC11" i="1"/>
  <c r="AE21" i="1"/>
  <c r="AD22" i="1"/>
  <c r="AD11" i="1" l="1"/>
  <c r="AE10" i="1"/>
  <c r="AF21" i="1"/>
  <c r="AE22" i="1"/>
  <c r="AE11" i="1" l="1"/>
  <c r="AF10" i="1"/>
  <c r="AG21" i="1"/>
  <c r="AF22" i="1"/>
  <c r="AG10" i="1" l="1"/>
  <c r="AF11" i="1"/>
  <c r="AH21" i="1"/>
  <c r="AG22" i="1"/>
  <c r="AH10" i="1" l="1"/>
  <c r="AG11" i="1"/>
  <c r="AI21" i="1"/>
  <c r="AH22" i="1"/>
  <c r="AI10" i="1" l="1"/>
  <c r="AH11" i="1"/>
  <c r="AJ21" i="1"/>
  <c r="AI22" i="1"/>
  <c r="AJ10" i="1" l="1"/>
  <c r="AI11" i="1"/>
  <c r="AK21" i="1"/>
  <c r="AJ22" i="1"/>
  <c r="AK10" i="1" l="1"/>
  <c r="AJ11" i="1"/>
  <c r="AL21" i="1"/>
  <c r="AL22" i="1" s="1"/>
  <c r="AK22" i="1"/>
  <c r="AL10" i="1" l="1"/>
  <c r="AL11" i="1" s="1"/>
  <c r="AK11" i="1"/>
</calcChain>
</file>

<file path=xl/sharedStrings.xml><?xml version="1.0" encoding="utf-8"?>
<sst xmlns="http://schemas.openxmlformats.org/spreadsheetml/2006/main" count="34" uniqueCount="22">
  <si>
    <t>dx=dy</t>
  </si>
  <si>
    <t>V_in</t>
  </si>
  <si>
    <t>p_in</t>
  </si>
  <si>
    <t>V_out</t>
  </si>
  <si>
    <t>n_iter</t>
  </si>
  <si>
    <t>N_L</t>
  </si>
  <si>
    <t>N_M</t>
  </si>
  <si>
    <t>start_Row</t>
  </si>
  <si>
    <t>start_Col</t>
  </si>
  <si>
    <t>psi</t>
  </si>
  <si>
    <t>А_inlet</t>
  </si>
  <si>
    <t>А_outlet</t>
  </si>
  <si>
    <t>u</t>
  </si>
  <si>
    <t>v</t>
  </si>
  <si>
    <t>fi</t>
  </si>
  <si>
    <t>x</t>
  </si>
  <si>
    <t>y</t>
  </si>
  <si>
    <t>p</t>
  </si>
  <si>
    <t>Cp</t>
  </si>
  <si>
    <t>vel</t>
  </si>
  <si>
    <t>х</t>
  </si>
  <si>
    <t>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</si>
</sst>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sz val="11"/>
      <color rgb="FF9C5700"/>
      <name val="Calibri"/>
      <family val="2"/>
      <charset val="204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gradientFill type="path" left="0.5" right="0.5" top="0.5" bottom="0.5">
        <stop position="0">
          <color theme="0"/>
        </stop>
        <stop position="1">
          <color rgb="FF00FFFF"/>
        </stop>
      </gradientFill>
    </fill>
    <fill>
      <patternFill patternType="solid">
        <fgColor rgb="FF00FFFF"/>
        <bgColor indexed="64"/>
      </patternFill>
    </fill>
    <fill>
      <patternFill patternType="solid">
        <fgColor rgb="FFFFEB9C"/>
      </patternFill>
    </fill>
    <fill>
      <patternFill patternType="solid">
        <fgColor theme="4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9">
    <xf numFmtId="0" fontId="0" fillId="0" borderId="0"/>
    <xf numFmtId="0" fontId="3" fillId="3" borderId="6" applyBorder="0">
      <alignment horizontal="center" vertical="center"/>
    </xf>
    <xf numFmtId="0" fontId="1" fillId="4" borderId="1"/>
    <xf numFmtId="0" fontId="4" fillId="5" borderId="0" applyNumberFormat="0" applyBorder="0" applyAlignment="0" applyProtection="0"/>
    <xf numFmtId="0" fontId="2" fillId="6" borderId="0" applyNumberFormat="0" applyBorder="0" applyAlignment="0" applyProtection="0"/>
    <xf numFmtId="0" fontId="1" fillId="7" borderId="0" applyNumberFormat="0" applyBorder="0" applyAlignment="0" applyProtection="0"/>
    <xf numFmtId="0" fontId="2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</cellStyleXfs>
  <cellXfs count="30">
    <xf numFmtId="0" fontId="0" fillId="0" borderId="0" xfId="0"/>
    <xf numFmtId="2" fontId="0" fillId="0" borderId="0" xfId="0" applyNumberFormat="1"/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Border="1"/>
    <xf numFmtId="0" fontId="3" fillId="3" borderId="2" xfId="1" applyBorder="1">
      <alignment horizontal="center" vertical="center"/>
    </xf>
    <xf numFmtId="0" fontId="3" fillId="3" borderId="3" xfId="1" applyBorder="1">
      <alignment horizontal="center" vertical="center"/>
    </xf>
    <xf numFmtId="0" fontId="3" fillId="3" borderId="7" xfId="1" applyBorder="1">
      <alignment horizontal="center" vertical="center"/>
    </xf>
    <xf numFmtId="0" fontId="3" fillId="3" borderId="5" xfId="1" applyBorder="1">
      <alignment horizontal="center" vertical="center"/>
    </xf>
    <xf numFmtId="0" fontId="3" fillId="3" borderId="4" xfId="1" applyBorder="1">
      <alignment horizontal="center" vertical="center"/>
    </xf>
    <xf numFmtId="0" fontId="3" fillId="3" borderId="6" xfId="1" applyFont="1" applyBorder="1">
      <alignment horizontal="center" vertical="center"/>
    </xf>
    <xf numFmtId="0" fontId="3" fillId="3" borderId="2" xfId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0" fillId="0" borderId="0" xfId="0" applyNumberFormat="1" applyBorder="1" applyAlignment="1">
      <alignment horizontal="center" vertical="center"/>
    </xf>
    <xf numFmtId="0" fontId="0" fillId="0" borderId="1" xfId="0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 vertical="center"/>
    </xf>
    <xf numFmtId="0" fontId="1" fillId="7" borderId="1" xfId="5" applyBorder="1"/>
    <xf numFmtId="0" fontId="4" fillId="5" borderId="1" xfId="3" applyBorder="1"/>
    <xf numFmtId="0" fontId="1" fillId="7" borderId="0" xfId="5" applyAlignment="1">
      <alignment horizontal="center" vertical="center"/>
    </xf>
    <xf numFmtId="2" fontId="1" fillId="7" borderId="0" xfId="5" applyNumberFormat="1" applyAlignment="1">
      <alignment horizontal="center" vertical="center"/>
    </xf>
    <xf numFmtId="0" fontId="4" fillId="5" borderId="0" xfId="3" applyAlignment="1">
      <alignment horizontal="center" vertical="center"/>
    </xf>
    <xf numFmtId="2" fontId="2" fillId="6" borderId="1" xfId="4" applyNumberFormat="1" applyBorder="1" applyAlignment="1">
      <alignment horizontal="center" vertical="center"/>
    </xf>
    <xf numFmtId="0" fontId="2" fillId="6" borderId="1" xfId="4" applyBorder="1" applyAlignment="1">
      <alignment horizontal="center" vertical="center"/>
    </xf>
    <xf numFmtId="0" fontId="2" fillId="8" borderId="0" xfId="6" applyAlignment="1">
      <alignment horizontal="center" vertical="center"/>
    </xf>
    <xf numFmtId="2" fontId="2" fillId="6" borderId="6" xfId="4" applyNumberFormat="1" applyBorder="1" applyAlignment="1">
      <alignment horizontal="center" vertical="center"/>
    </xf>
    <xf numFmtId="0" fontId="1" fillId="9" borderId="1" xfId="7" applyBorder="1" applyAlignment="1">
      <alignment horizontal="center" vertical="center"/>
    </xf>
    <xf numFmtId="0" fontId="1" fillId="10" borderId="1" xfId="8" applyBorder="1" applyAlignment="1">
      <alignment horizontal="center" vertical="center"/>
    </xf>
    <xf numFmtId="0" fontId="1" fillId="10" borderId="1" xfId="8" applyBorder="1" applyAlignment="1">
      <alignment horizontal="center"/>
    </xf>
  </cellXfs>
  <cellStyles count="9">
    <cellStyle name="40% — акцент2" xfId="5" builtinId="35"/>
    <cellStyle name="40% — акцент4" xfId="7" builtinId="43"/>
    <cellStyle name="60% — акцент4" xfId="8" builtinId="44"/>
    <cellStyle name="A1" xfId="1" xr:uid="{6A0F5C26-414F-4BC3-8956-31F6D719B86A}"/>
    <cellStyle name="Акцент1" xfId="4" builtinId="29"/>
    <cellStyle name="Акцент3" xfId="6" builtinId="37"/>
    <cellStyle name="Нейтральный" xfId="3" builtinId="28"/>
    <cellStyle name="Обычный" xfId="0" builtinId="0"/>
    <cellStyle name="Стиль 1" xfId="2" xr:uid="{04DE109F-4085-4222-AE51-23E5EE11A60D}"/>
  </cellStyles>
  <dxfs count="0"/>
  <tableStyles count="0" defaultTableStyle="TableStyleMedium2" defaultPivotStyle="PivotStyleLight16"/>
  <colors>
    <mruColors>
      <color rgb="FF00FFFF"/>
      <color rgb="FFFF66CC"/>
      <color rgb="FF33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0"/>
    <c:plotArea>
      <c:layout/>
      <c:scatterChart>
        <c:scatterStyle val="smoothMarker"/>
        <c:varyColors val="0"/>
        <c:ser>
          <c:idx val="1"/>
          <c:order val="0"/>
          <c:tx>
            <c:v>нижняя граница</c:v>
          </c:tx>
          <c:spPr>
            <a:ln w="22225" cap="rnd">
              <a:solidFill>
                <a:schemeClr val="accent5"/>
              </a:solidFill>
            </a:ln>
            <a:effectLst>
              <a:glow rad="139700">
                <a:schemeClr val="accent5"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Лист1!$X$16:$AL$16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xVal>
          <c:yVal>
            <c:numRef>
              <c:f>Лист1!$X$22:$AL$22</c:f>
              <c:numCache>
                <c:formatCode>0.00</c:formatCode>
                <c:ptCount val="15"/>
                <c:pt idx="0">
                  <c:v>0</c:v>
                </c:pt>
                <c:pt idx="1">
                  <c:v>-24</c:v>
                </c:pt>
                <c:pt idx="2">
                  <c:v>-24</c:v>
                </c:pt>
                <c:pt idx="3">
                  <c:v>-24</c:v>
                </c:pt>
                <c:pt idx="4">
                  <c:v>-24</c:v>
                </c:pt>
                <c:pt idx="5">
                  <c:v>-24</c:v>
                </c:pt>
                <c:pt idx="6">
                  <c:v>-24</c:v>
                </c:pt>
                <c:pt idx="7">
                  <c:v>-24</c:v>
                </c:pt>
                <c:pt idx="8">
                  <c:v>-24</c:v>
                </c:pt>
                <c:pt idx="9">
                  <c:v>-24</c:v>
                </c:pt>
                <c:pt idx="10">
                  <c:v>-24</c:v>
                </c:pt>
                <c:pt idx="11">
                  <c:v>-24</c:v>
                </c:pt>
                <c:pt idx="12">
                  <c:v>-24</c:v>
                </c:pt>
                <c:pt idx="13">
                  <c:v>-24</c:v>
                </c:pt>
                <c:pt idx="14">
                  <c:v>0.75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F87-490A-88F9-EC622F4DB1A2}"/>
            </c:ext>
          </c:extLst>
        </c:ser>
        <c:ser>
          <c:idx val="2"/>
          <c:order val="1"/>
          <c:tx>
            <c:v>верхняя граница</c:v>
          </c:tx>
          <c:spPr>
            <a:ln w="22225" cap="rnd">
              <a:solidFill>
                <a:schemeClr val="accent5">
                  <a:tint val="65000"/>
                </a:schemeClr>
              </a:solidFill>
            </a:ln>
            <a:effectLst>
              <a:glow rad="139700">
                <a:schemeClr val="accent5">
                  <a:tint val="65000"/>
                  <a:satMod val="175000"/>
                  <a:alpha val="14000"/>
                </a:schemeClr>
              </a:glow>
            </a:effectLst>
          </c:spPr>
          <c:marker>
            <c:symbol val="none"/>
          </c:marker>
          <c:xVal>
            <c:numRef>
              <c:f>Лист1!$X$5:$AL$5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0.60000000000000009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1.5999999999999999</c:v>
                </c:pt>
                <c:pt idx="9">
                  <c:v>1.7999999999999998</c:v>
                </c:pt>
                <c:pt idx="10">
                  <c:v>1.9999999999999998</c:v>
                </c:pt>
                <c:pt idx="11">
                  <c:v>2.1999999999999997</c:v>
                </c:pt>
                <c:pt idx="12">
                  <c:v>2.4</c:v>
                </c:pt>
                <c:pt idx="13">
                  <c:v>2.6</c:v>
                </c:pt>
                <c:pt idx="14">
                  <c:v>2.8000000000000003</c:v>
                </c:pt>
              </c:numCache>
            </c:numRef>
          </c:xVal>
          <c:yVal>
            <c:numRef>
              <c:f>Лист1!$X$11:$AL$11</c:f>
              <c:numCache>
                <c:formatCode>0.00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0.75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F87-490A-88F9-EC622F4DB1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35208815"/>
        <c:axId val="908565087"/>
      </c:scatterChart>
      <c:valAx>
        <c:axId val="1035208815"/>
        <c:scaling>
          <c:orientation val="minMax"/>
          <c:max val="2.8"/>
          <c:min val="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08565087"/>
        <c:crosses val="autoZero"/>
        <c:crossBetween val="midCat"/>
        <c:majorUnit val="0.2"/>
      </c:valAx>
      <c:valAx>
        <c:axId val="908565087"/>
        <c:scaling>
          <c:orientation val="minMax"/>
          <c:min val="-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35208815"/>
        <c:crosses val="autoZero"/>
        <c:crossBetween val="midCat"/>
        <c:majorUnit val="0.25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815104233387135E-2"/>
          <c:y val="2.6093393813297661E-2"/>
          <c:w val="0.93632940846446922"/>
          <c:h val="0.89736024856337637"/>
        </c:manualLayout>
      </c:layout>
      <c:scatterChart>
        <c:scatterStyle val="lineMarker"/>
        <c:varyColors val="0"/>
        <c:ser>
          <c:idx val="0"/>
          <c:order val="0"/>
          <c:tx>
            <c:v>1</c:v>
          </c:tx>
          <c:spPr>
            <a:ln w="34925" cap="rnd">
              <a:solidFill>
                <a:schemeClr val="accent5">
                  <a:shade val="47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Лист1!$X$63:$AL$63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</c:numCache>
            </c:numRef>
          </c:xVal>
          <c:yVal>
            <c:numRef>
              <c:f>Лист1!$X$62:$AL$62</c:f>
              <c:numCache>
                <c:formatCode>0.00</c:formatCode>
                <c:ptCount val="1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0.8</c:v>
                </c:pt>
                <c:pt idx="6">
                  <c:v>0.6</c:v>
                </c:pt>
                <c:pt idx="7">
                  <c:v>0.4</c:v>
                </c:pt>
                <c:pt idx="8">
                  <c:v>0.2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74B-4379-97E9-0DDA497F6282}"/>
            </c:ext>
          </c:extLst>
        </c:ser>
        <c:ser>
          <c:idx val="1"/>
          <c:order val="1"/>
          <c:tx>
            <c:v>2</c:v>
          </c:tx>
          <c:spPr>
            <a:ln w="34925" cap="rnd">
              <a:solidFill>
                <a:schemeClr val="accent5">
                  <a:shade val="6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Лист1!$X$63:$AL$63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</c:numCache>
            </c:numRef>
          </c:xVal>
          <c:yVal>
            <c:numRef>
              <c:f>Лист1!$X$56:$AL$56</c:f>
              <c:numCache>
                <c:formatCode>0.00</c:formatCode>
                <c:ptCount val="15"/>
                <c:pt idx="0">
                  <c:v>2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74B-4379-97E9-0DDA497F62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2790447"/>
        <c:axId val="1652925391"/>
      </c:scatterChart>
      <c:scatterChart>
        <c:scatterStyle val="smoothMarker"/>
        <c:varyColors val="0"/>
        <c:ser>
          <c:idx val="2"/>
          <c:order val="2"/>
          <c:tx>
            <c:v>3</c:v>
          </c:tx>
          <c:spPr>
            <a:ln w="34925" cap="rnd">
              <a:solidFill>
                <a:schemeClr val="accent5">
                  <a:shade val="82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Лист1!$X$63:$AL$63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</c:numCache>
            </c:numRef>
          </c:xVal>
          <c:yVal>
            <c:numRef>
              <c:f>Лист1!$X$57:$AL$57</c:f>
              <c:numCache>
                <c:formatCode>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374B-4379-97E9-0DDA497F6282}"/>
            </c:ext>
          </c:extLst>
        </c:ser>
        <c:ser>
          <c:idx val="3"/>
          <c:order val="3"/>
          <c:tx>
            <c:v>4</c:v>
          </c:tx>
          <c:spPr>
            <a:ln w="34925" cap="rnd">
              <a:solidFill>
                <a:schemeClr val="accent5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Лист1!$X$63:$AL$63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</c:numCache>
            </c:numRef>
          </c:xVal>
          <c:yVal>
            <c:numRef>
              <c:f>Лист1!$X$58:$AL$58</c:f>
              <c:numCache>
                <c:formatCode>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374B-4379-97E9-0DDA497F6282}"/>
            </c:ext>
          </c:extLst>
        </c:ser>
        <c:ser>
          <c:idx val="4"/>
          <c:order val="4"/>
          <c:tx>
            <c:v>5</c:v>
          </c:tx>
          <c:spPr>
            <a:ln w="34925" cap="rnd">
              <a:solidFill>
                <a:schemeClr val="accent5">
                  <a:tint val="83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Лист1!$X$63:$AL$63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</c:numCache>
            </c:numRef>
          </c:xVal>
          <c:yVal>
            <c:numRef>
              <c:f>Лист1!$X$59:$AL$59</c:f>
              <c:numCache>
                <c:formatCode>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374B-4379-97E9-0DDA497F6282}"/>
            </c:ext>
          </c:extLst>
        </c:ser>
        <c:ser>
          <c:idx val="5"/>
          <c:order val="5"/>
          <c:tx>
            <c:v>6</c:v>
          </c:tx>
          <c:spPr>
            <a:ln w="34925" cap="rnd">
              <a:solidFill>
                <a:schemeClr val="accent5">
                  <a:tint val="65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Лист1!$X$63:$AL$63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</c:numCache>
            </c:numRef>
          </c:xVal>
          <c:yVal>
            <c:numRef>
              <c:f>Лист1!$X$60:$AL$60</c:f>
              <c:numCache>
                <c:formatCode>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374B-4379-97E9-0DDA497F6282}"/>
            </c:ext>
          </c:extLst>
        </c:ser>
        <c:ser>
          <c:idx val="6"/>
          <c:order val="6"/>
          <c:tx>
            <c:v>7</c:v>
          </c:tx>
          <c:spPr>
            <a:ln w="34925" cap="rnd">
              <a:solidFill>
                <a:schemeClr val="accent5">
                  <a:tint val="48000"/>
                </a:schemeClr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xVal>
            <c:numRef>
              <c:f>Лист1!$X$63:$AL$63</c:f>
              <c:numCache>
                <c:formatCode>General</c:formatCode>
                <c:ptCount val="15"/>
                <c:pt idx="0">
                  <c:v>0</c:v>
                </c:pt>
                <c:pt idx="1">
                  <c:v>0.2</c:v>
                </c:pt>
                <c:pt idx="2">
                  <c:v>0.4</c:v>
                </c:pt>
                <c:pt idx="3">
                  <c:v>0.6</c:v>
                </c:pt>
                <c:pt idx="4">
                  <c:v>0.8</c:v>
                </c:pt>
                <c:pt idx="5">
                  <c:v>1</c:v>
                </c:pt>
                <c:pt idx="6">
                  <c:v>1.2</c:v>
                </c:pt>
                <c:pt idx="7">
                  <c:v>1.4</c:v>
                </c:pt>
                <c:pt idx="8">
                  <c:v>1.6</c:v>
                </c:pt>
                <c:pt idx="9">
                  <c:v>1.8</c:v>
                </c:pt>
                <c:pt idx="10">
                  <c:v>2</c:v>
                </c:pt>
                <c:pt idx="11">
                  <c:v>2.2000000000000002</c:v>
                </c:pt>
                <c:pt idx="12">
                  <c:v>2.4</c:v>
                </c:pt>
                <c:pt idx="13">
                  <c:v>2.6</c:v>
                </c:pt>
                <c:pt idx="14">
                  <c:v>2.8</c:v>
                </c:pt>
              </c:numCache>
            </c:numRef>
          </c:xVal>
          <c:yVal>
            <c:numRef>
              <c:f>Лист1!$X$61:$AL$61</c:f>
              <c:numCache>
                <c:formatCode>0.00</c:formatCode>
                <c:ptCount val="1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374B-4379-97E9-0DDA497F62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2790447"/>
        <c:axId val="1652925391"/>
      </c:scatterChart>
      <c:valAx>
        <c:axId val="17127904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52925391"/>
        <c:crosses val="autoZero"/>
        <c:crossBetween val="midCat"/>
        <c:majorUnit val="0.2"/>
      </c:valAx>
      <c:valAx>
        <c:axId val="1652925391"/>
        <c:scaling>
          <c:orientation val="minMax"/>
          <c:max val="2.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12790447"/>
        <c:crosses val="autoZero"/>
        <c:crossBetween val="midCat"/>
        <c:majorUnit val="0.2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colors2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28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gradFill>
        <a:gsLst>
          <a:gs pos="100000">
            <a:schemeClr val="dk1">
              <a:lumMod val="95000"/>
              <a:lumOff val="5000"/>
            </a:schemeClr>
          </a:gs>
          <a:gs pos="0">
            <a:schemeClr val="dk1">
              <a:lumMod val="75000"/>
              <a:lumOff val="25000"/>
            </a:schemeClr>
          </a:gs>
        </a:gsLst>
        <a:path path="circle">
          <a:fillToRect l="50000" t="50000" r="50000" b="50000"/>
        </a:path>
      </a:gradFill>
      <a:ln w="9525">
        <a:solidFill>
          <a:schemeClr val="dk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/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gradFill>
        <a:gsLst>
          <a:gs pos="100000">
            <a:schemeClr val="lt1">
              <a:lumMod val="85000"/>
            </a:schemeClr>
          </a:gs>
          <a:gs pos="0">
            <a:schemeClr val="lt1"/>
          </a:gs>
        </a:gsLst>
        <a:path path="circle">
          <a:fillToRect l="50000" t="50000" r="50000" b="50000"/>
        </a:path>
      </a:gradFill>
      <a:ln w="9525" cap="flat" cmpd="sng" algn="ctr">
        <a:solidFill>
          <a:schemeClr val="lt1"/>
        </a:solidFill>
        <a:round/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7399</xdr:colOff>
      <xdr:row>22</xdr:row>
      <xdr:rowOff>182347</xdr:rowOff>
    </xdr:from>
    <xdr:to>
      <xdr:col>34</xdr:col>
      <xdr:colOff>365495</xdr:colOff>
      <xdr:row>39</xdr:row>
      <xdr:rowOff>177585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612848</xdr:colOff>
      <xdr:row>40</xdr:row>
      <xdr:rowOff>7382</xdr:rowOff>
    </xdr:from>
    <xdr:to>
      <xdr:col>35</xdr:col>
      <xdr:colOff>111633</xdr:colOff>
      <xdr:row>53</xdr:row>
      <xdr:rowOff>177584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390525</xdr:colOff>
          <xdr:row>16</xdr:row>
          <xdr:rowOff>114300</xdr:rowOff>
        </xdr:from>
        <xdr:to>
          <xdr:col>1</xdr:col>
          <xdr:colOff>400050</xdr:colOff>
          <xdr:row>17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3CED24C7-D47E-49A5-81E1-4FCBC6DF70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22</xdr:row>
          <xdr:rowOff>9525</xdr:rowOff>
        </xdr:from>
        <xdr:to>
          <xdr:col>2</xdr:col>
          <xdr:colOff>28575</xdr:colOff>
          <xdr:row>23</xdr:row>
          <xdr:rowOff>66675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D2D1D9E7-C47B-4105-9BEC-6C7694592D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старт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старт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0.00662</cdr:x>
      <cdr:y>0.01559</cdr:y>
    </cdr:from>
    <cdr:to>
      <cdr:x>0.05005</cdr:x>
      <cdr:y>0.10169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CF5D5F17-5A1F-4054-B27E-1760F9843560}"/>
            </a:ext>
          </a:extLst>
        </cdr:cNvPr>
        <cdr:cNvSpPr txBox="1"/>
      </cdr:nvSpPr>
      <cdr:spPr>
        <a:xfrm xmlns:a="http://schemas.openxmlformats.org/drawingml/2006/main">
          <a:off x="50801" y="50800"/>
          <a:ext cx="333140" cy="280581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100"/>
            <a:t>Ср</a:t>
          </a:r>
        </a:p>
      </cdr:txBody>
    </cdr:sp>
  </cdr:relSizeAnchor>
  <cdr:relSizeAnchor xmlns:cdr="http://schemas.openxmlformats.org/drawingml/2006/chartDrawing">
    <cdr:from>
      <cdr:x>0.94514</cdr:x>
      <cdr:y>0.5558</cdr:y>
    </cdr:from>
    <cdr:to>
      <cdr:x>0.99904</cdr:x>
      <cdr:y>0.63867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CF5D5F17-5A1F-4054-B27E-1760F9843560}"/>
            </a:ext>
          </a:extLst>
        </cdr:cNvPr>
        <cdr:cNvSpPr txBox="1"/>
      </cdr:nvSpPr>
      <cdr:spPr>
        <a:xfrm xmlns:a="http://schemas.openxmlformats.org/drawingml/2006/main">
          <a:off x="7250800" y="1811258"/>
          <a:ext cx="413494" cy="270065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100"/>
            <a:t>х, м</a:t>
          </a:r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0.92769</cdr:x>
      <cdr:y>0.06353</cdr:y>
    </cdr:from>
    <cdr:to>
      <cdr:x>1</cdr:x>
      <cdr:y>0.16848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D0AB58D8-088C-4DF5-B320-DBECFCAA5AD9}"/>
            </a:ext>
          </a:extLst>
        </cdr:cNvPr>
        <cdr:cNvSpPr txBox="1"/>
      </cdr:nvSpPr>
      <cdr:spPr>
        <a:xfrm xmlns:a="http://schemas.openxmlformats.org/drawingml/2006/main">
          <a:off x="7495226" y="169825"/>
          <a:ext cx="584191" cy="2805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l-GR" sz="1100"/>
            <a:t>Ψ</a:t>
          </a:r>
          <a:r>
            <a:rPr lang="en-US" sz="1100"/>
            <a:t>=10</a:t>
          </a:r>
          <a:endParaRPr lang="ru-RU" sz="1100"/>
        </a:p>
      </cdr:txBody>
    </cdr:sp>
  </cdr:relSizeAnchor>
  <cdr:relSizeAnchor xmlns:cdr="http://schemas.openxmlformats.org/drawingml/2006/chartDrawing">
    <cdr:from>
      <cdr:x>0.92769</cdr:x>
      <cdr:y>0.13225</cdr:y>
    </cdr:from>
    <cdr:to>
      <cdr:x>1</cdr:x>
      <cdr:y>0.2372</cdr:y>
    </cdr:to>
    <cdr:sp macro="" textlink="">
      <cdr:nvSpPr>
        <cdr:cNvPr id="3" name="TextBox 1">
          <a:extLst xmlns:a="http://schemas.openxmlformats.org/drawingml/2006/main">
            <a:ext uri="{FF2B5EF4-FFF2-40B4-BE49-F238E27FC236}">
              <a16:creationId xmlns:a16="http://schemas.microsoft.com/office/drawing/2014/main" id="{CF5D5F17-5A1F-4054-B27E-1760F9843560}"/>
            </a:ext>
          </a:extLst>
        </cdr:cNvPr>
        <cdr:cNvSpPr txBox="1"/>
      </cdr:nvSpPr>
      <cdr:spPr>
        <a:xfrm xmlns:a="http://schemas.openxmlformats.org/drawingml/2006/main">
          <a:off x="7495226" y="353533"/>
          <a:ext cx="584191" cy="2805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l-GR" sz="1100"/>
            <a:t>Ψ</a:t>
          </a:r>
          <a:r>
            <a:rPr lang="en-US" sz="1100"/>
            <a:t>=9,5</a:t>
          </a:r>
          <a:endParaRPr lang="ru-RU" sz="1100"/>
        </a:p>
      </cdr:txBody>
    </cdr:sp>
  </cdr:relSizeAnchor>
  <cdr:relSizeAnchor xmlns:cdr="http://schemas.openxmlformats.org/drawingml/2006/chartDrawing">
    <cdr:from>
      <cdr:x>0.92769</cdr:x>
      <cdr:y>0.26759</cdr:y>
    </cdr:from>
    <cdr:to>
      <cdr:x>1</cdr:x>
      <cdr:y>0.37254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CF5D5F17-5A1F-4054-B27E-1760F9843560}"/>
            </a:ext>
          </a:extLst>
        </cdr:cNvPr>
        <cdr:cNvSpPr txBox="1"/>
      </cdr:nvSpPr>
      <cdr:spPr>
        <a:xfrm xmlns:a="http://schemas.openxmlformats.org/drawingml/2006/main">
          <a:off x="7495226" y="715335"/>
          <a:ext cx="584191" cy="2805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l-GR" sz="1100"/>
            <a:t>Ψ</a:t>
          </a:r>
          <a:r>
            <a:rPr lang="en-US" sz="1100"/>
            <a:t>=7,5</a:t>
          </a:r>
          <a:endParaRPr lang="ru-RU" sz="1100"/>
        </a:p>
      </cdr:txBody>
    </cdr:sp>
  </cdr:relSizeAnchor>
  <cdr:relSizeAnchor xmlns:cdr="http://schemas.openxmlformats.org/drawingml/2006/chartDrawing">
    <cdr:from>
      <cdr:x>0.92769</cdr:x>
      <cdr:y>0.45541</cdr:y>
    </cdr:from>
    <cdr:to>
      <cdr:x>1</cdr:x>
      <cdr:y>0.56036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CF5D5F17-5A1F-4054-B27E-1760F9843560}"/>
            </a:ext>
          </a:extLst>
        </cdr:cNvPr>
        <cdr:cNvSpPr txBox="1"/>
      </cdr:nvSpPr>
      <cdr:spPr>
        <a:xfrm xmlns:a="http://schemas.openxmlformats.org/drawingml/2006/main">
          <a:off x="7495226" y="1217428"/>
          <a:ext cx="584191" cy="2805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l-GR" sz="1100"/>
            <a:t>Ψ</a:t>
          </a:r>
          <a:r>
            <a:rPr lang="en-US" sz="1100"/>
            <a:t>=5</a:t>
          </a:r>
          <a:endParaRPr lang="ru-RU" sz="1100"/>
        </a:p>
      </cdr:txBody>
    </cdr:sp>
  </cdr:relSizeAnchor>
  <cdr:relSizeAnchor xmlns:cdr="http://schemas.openxmlformats.org/drawingml/2006/chartDrawing">
    <cdr:from>
      <cdr:x>0.92769</cdr:x>
      <cdr:y>0.6598</cdr:y>
    </cdr:from>
    <cdr:to>
      <cdr:x>1</cdr:x>
      <cdr:y>0.76475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CF5D5F17-5A1F-4054-B27E-1760F9843560}"/>
            </a:ext>
          </a:extLst>
        </cdr:cNvPr>
        <cdr:cNvSpPr txBox="1"/>
      </cdr:nvSpPr>
      <cdr:spPr>
        <a:xfrm xmlns:a="http://schemas.openxmlformats.org/drawingml/2006/main">
          <a:off x="7495226" y="1763823"/>
          <a:ext cx="584191" cy="2805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l-GR" sz="1100"/>
            <a:t>Ψ</a:t>
          </a:r>
          <a:r>
            <a:rPr lang="en-US" sz="1100"/>
            <a:t>=2,5</a:t>
          </a:r>
          <a:endParaRPr lang="ru-RU" sz="1100"/>
        </a:p>
      </cdr:txBody>
    </cdr:sp>
  </cdr:relSizeAnchor>
  <cdr:relSizeAnchor xmlns:cdr="http://schemas.openxmlformats.org/drawingml/2006/chartDrawing">
    <cdr:from>
      <cdr:x>0.92769</cdr:x>
      <cdr:y>0.80342</cdr:y>
    </cdr:from>
    <cdr:to>
      <cdr:x>1</cdr:x>
      <cdr:y>0.90838</cdr:y>
    </cdr:to>
    <cdr:sp macro="" textlink="">
      <cdr:nvSpPr>
        <cdr:cNvPr id="7" name="TextBox 1">
          <a:extLst xmlns:a="http://schemas.openxmlformats.org/drawingml/2006/main">
            <a:ext uri="{FF2B5EF4-FFF2-40B4-BE49-F238E27FC236}">
              <a16:creationId xmlns:a16="http://schemas.microsoft.com/office/drawing/2014/main" id="{CF5D5F17-5A1F-4054-B27E-1760F9843560}"/>
            </a:ext>
          </a:extLst>
        </cdr:cNvPr>
        <cdr:cNvSpPr txBox="1"/>
      </cdr:nvSpPr>
      <cdr:spPr>
        <a:xfrm xmlns:a="http://schemas.openxmlformats.org/drawingml/2006/main">
          <a:off x="7495226" y="2147777"/>
          <a:ext cx="584191" cy="2805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l-GR" sz="1100"/>
            <a:t>Ψ</a:t>
          </a:r>
          <a:r>
            <a:rPr lang="en-US" sz="1100"/>
            <a:t>=0,5</a:t>
          </a:r>
          <a:endParaRPr lang="ru-RU" sz="1100"/>
        </a:p>
      </cdr:txBody>
    </cdr:sp>
  </cdr:relSizeAnchor>
  <cdr:relSizeAnchor xmlns:cdr="http://schemas.openxmlformats.org/drawingml/2006/chartDrawing">
    <cdr:from>
      <cdr:x>0.92769</cdr:x>
      <cdr:y>0.85038</cdr:y>
    </cdr:from>
    <cdr:to>
      <cdr:x>1</cdr:x>
      <cdr:y>0.95534</cdr:y>
    </cdr:to>
    <cdr:sp macro="" textlink="">
      <cdr:nvSpPr>
        <cdr:cNvPr id="8" name="TextBox 1">
          <a:extLst xmlns:a="http://schemas.openxmlformats.org/drawingml/2006/main">
            <a:ext uri="{FF2B5EF4-FFF2-40B4-BE49-F238E27FC236}">
              <a16:creationId xmlns:a16="http://schemas.microsoft.com/office/drawing/2014/main" id="{CF5D5F17-5A1F-4054-B27E-1760F9843560}"/>
            </a:ext>
          </a:extLst>
        </cdr:cNvPr>
        <cdr:cNvSpPr txBox="1"/>
      </cdr:nvSpPr>
      <cdr:spPr>
        <a:xfrm xmlns:a="http://schemas.openxmlformats.org/drawingml/2006/main">
          <a:off x="7495226" y="2273300"/>
          <a:ext cx="584191" cy="280581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l-GR" sz="1100"/>
            <a:t>Ψ</a:t>
          </a:r>
          <a:r>
            <a:rPr lang="en-US" sz="1100"/>
            <a:t>=0</a:t>
          </a:r>
          <a:endParaRPr lang="ru-RU" sz="1100"/>
        </a:p>
      </cdr:txBody>
    </cdr:sp>
  </cdr:relSizeAnchor>
  <cdr:relSizeAnchor xmlns:cdr="http://schemas.openxmlformats.org/drawingml/2006/chartDrawing">
    <cdr:from>
      <cdr:x>0.00457</cdr:x>
      <cdr:y>0.01108</cdr:y>
    </cdr:from>
    <cdr:to>
      <cdr:x>0.04661</cdr:x>
      <cdr:y>0.08286</cdr:y>
    </cdr:to>
    <cdr:sp macro="" textlink="">
      <cdr:nvSpPr>
        <cdr:cNvPr id="9" name="TextBox 1">
          <a:extLst xmlns:a="http://schemas.openxmlformats.org/drawingml/2006/main">
            <a:ext uri="{FF2B5EF4-FFF2-40B4-BE49-F238E27FC236}">
              <a16:creationId xmlns:a16="http://schemas.microsoft.com/office/drawing/2014/main" id="{CF5D5F17-5A1F-4054-B27E-1760F9843560}"/>
            </a:ext>
          </a:extLst>
        </cdr:cNvPr>
        <cdr:cNvSpPr txBox="1"/>
      </cdr:nvSpPr>
      <cdr:spPr>
        <a:xfrm xmlns:a="http://schemas.openxmlformats.org/drawingml/2006/main">
          <a:off x="36919" y="29536"/>
          <a:ext cx="339651" cy="191363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wrap="none" rtlCol="0" anchor="t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 sz="1100"/>
            <a:t>y,</a:t>
          </a:r>
          <a:r>
            <a:rPr lang="ru-RU" sz="1100"/>
            <a:t> м</a:t>
          </a:r>
          <a:r>
            <a:rPr lang="en-US" sz="1100"/>
            <a:t> </a:t>
          </a:r>
          <a:endParaRPr lang="ru-RU" sz="1100"/>
        </a:p>
      </cdr:txBody>
    </cdr:sp>
  </cdr:relSizeAnchor>
  <cdr:relSizeAnchor xmlns:cdr="http://schemas.openxmlformats.org/drawingml/2006/chartDrawing">
    <cdr:from>
      <cdr:x>0.95674</cdr:x>
      <cdr:y>0.91424</cdr:y>
    </cdr:from>
    <cdr:to>
      <cdr:x>0.99715</cdr:x>
      <cdr:y>1</cdr:y>
    </cdr:to>
    <cdr:sp macro="" textlink="">
      <cdr:nvSpPr>
        <cdr:cNvPr id="10" name="TextBox 1">
          <a:extLst xmlns:a="http://schemas.openxmlformats.org/drawingml/2006/main">
            <a:ext uri="{FF2B5EF4-FFF2-40B4-BE49-F238E27FC236}">
              <a16:creationId xmlns:a16="http://schemas.microsoft.com/office/drawing/2014/main" id="{CF5D5F17-5A1F-4054-B27E-1760F9843560}"/>
            </a:ext>
          </a:extLst>
        </cdr:cNvPr>
        <cdr:cNvSpPr txBox="1"/>
      </cdr:nvSpPr>
      <cdr:spPr>
        <a:xfrm xmlns:a="http://schemas.openxmlformats.org/drawingml/2006/main">
          <a:off x="7729869" y="2444011"/>
          <a:ext cx="326519" cy="229271"/>
        </a:xfrm>
        <a:prstGeom xmlns:a="http://schemas.openxmlformats.org/drawingml/2006/main" prst="rect">
          <a:avLst/>
        </a:prstGeom>
        <a:solidFill xmlns:a="http://schemas.openxmlformats.org/drawingml/2006/main">
          <a:schemeClr val="bg1"/>
        </a:solidFill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ru-RU" sz="1100"/>
            <a:t>х,</a:t>
          </a:r>
          <a:r>
            <a:rPr lang="ru-RU" sz="1100" baseline="0"/>
            <a:t> м</a:t>
          </a:r>
          <a:endParaRPr lang="ru-RU" sz="1100"/>
        </a:p>
      </cdr:txBody>
    </cdr:sp>
  </cdr:relSizeAnchor>
</c:userShap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0CC526-6418-476D-B437-D5EDAB81AF0A}">
  <sheetPr codeName="Лист1"/>
  <dimension ref="A1:AO67"/>
  <sheetViews>
    <sheetView tabSelected="1" zoomScale="86" workbookViewId="0">
      <selection activeCell="C19" sqref="C19"/>
    </sheetView>
  </sheetViews>
  <sheetFormatPr defaultRowHeight="15" x14ac:dyDescent="0.25"/>
  <sheetData>
    <row r="1" spans="1:38" x14ac:dyDescent="0.25">
      <c r="A1" s="18" t="s">
        <v>0</v>
      </c>
      <c r="B1" s="19">
        <v>0.2</v>
      </c>
    </row>
    <row r="3" spans="1:38" x14ac:dyDescent="0.25">
      <c r="A3" s="18" t="s">
        <v>1</v>
      </c>
      <c r="B3" s="19">
        <v>10</v>
      </c>
      <c r="E3" s="2"/>
      <c r="F3" s="20">
        <v>1</v>
      </c>
      <c r="G3" s="20">
        <v>2</v>
      </c>
      <c r="H3" s="20">
        <v>3</v>
      </c>
      <c r="I3" s="20">
        <v>4</v>
      </c>
      <c r="J3" s="20">
        <v>5</v>
      </c>
      <c r="K3" s="20">
        <v>6</v>
      </c>
      <c r="L3" s="20">
        <v>7</v>
      </c>
      <c r="M3" s="20">
        <v>8</v>
      </c>
      <c r="N3" s="20">
        <v>9</v>
      </c>
      <c r="O3" s="20">
        <v>10</v>
      </c>
      <c r="P3" s="20">
        <v>11</v>
      </c>
      <c r="Q3" s="20">
        <v>12</v>
      </c>
      <c r="R3" s="20">
        <v>13</v>
      </c>
      <c r="S3" s="20">
        <v>14</v>
      </c>
      <c r="T3" s="20">
        <v>15</v>
      </c>
      <c r="W3" s="28">
        <v>0</v>
      </c>
      <c r="X3" s="28">
        <v>1</v>
      </c>
      <c r="Y3" s="28">
        <v>2</v>
      </c>
      <c r="Z3" s="28">
        <v>3</v>
      </c>
      <c r="AA3" s="28">
        <v>4</v>
      </c>
      <c r="AB3" s="28">
        <v>5</v>
      </c>
      <c r="AC3" s="28">
        <v>6</v>
      </c>
      <c r="AD3" s="28">
        <v>7</v>
      </c>
      <c r="AE3" s="28">
        <v>8</v>
      </c>
      <c r="AF3" s="28">
        <v>9</v>
      </c>
      <c r="AG3" s="28">
        <v>10</v>
      </c>
      <c r="AH3" s="28">
        <v>11</v>
      </c>
      <c r="AI3" s="28">
        <v>12</v>
      </c>
      <c r="AJ3" s="28">
        <v>13</v>
      </c>
      <c r="AK3" s="28">
        <v>14</v>
      </c>
      <c r="AL3" s="28">
        <v>15</v>
      </c>
    </row>
    <row r="4" spans="1:38" x14ac:dyDescent="0.25">
      <c r="A4" s="18" t="s">
        <v>2</v>
      </c>
      <c r="B4" s="19">
        <v>101325</v>
      </c>
      <c r="E4" s="21">
        <f t="shared" ref="E4:E13" si="0">E5+$B$1</f>
        <v>1.9999999999999998</v>
      </c>
      <c r="F4" s="22">
        <f t="shared" ref="F4:F7" si="1">F5+$B$3*$B$1</f>
        <v>10</v>
      </c>
      <c r="G4" s="22">
        <f>$F$4</f>
        <v>10</v>
      </c>
      <c r="H4" s="22">
        <f t="shared" ref="H4:S4" si="2">$F$4</f>
        <v>10</v>
      </c>
      <c r="I4" s="22">
        <f t="shared" si="2"/>
        <v>10</v>
      </c>
      <c r="J4" s="22">
        <f t="shared" si="2"/>
        <v>10</v>
      </c>
      <c r="K4" s="22">
        <f t="shared" si="2"/>
        <v>10</v>
      </c>
      <c r="L4" s="22">
        <f t="shared" si="2"/>
        <v>10</v>
      </c>
      <c r="M4" s="22">
        <f t="shared" si="2"/>
        <v>10</v>
      </c>
      <c r="N4" s="22">
        <f t="shared" si="2"/>
        <v>10</v>
      </c>
      <c r="O4" s="22">
        <f t="shared" si="2"/>
        <v>10</v>
      </c>
      <c r="P4" s="22">
        <f t="shared" si="2"/>
        <v>10</v>
      </c>
      <c r="Q4" s="22">
        <f t="shared" si="2"/>
        <v>10</v>
      </c>
      <c r="R4" s="22">
        <f t="shared" si="2"/>
        <v>10</v>
      </c>
      <c r="S4" s="22">
        <f t="shared" si="2"/>
        <v>10</v>
      </c>
      <c r="T4" s="22">
        <f t="shared" ref="T4:T11" si="3">T5+(($B$3*$B$6)/$B$7)*$B$1</f>
        <v>10</v>
      </c>
      <c r="W4" s="24" t="s">
        <v>14</v>
      </c>
      <c r="X4" s="15">
        <v>0</v>
      </c>
      <c r="Y4" s="15">
        <v>0</v>
      </c>
      <c r="Z4" s="15">
        <v>0</v>
      </c>
      <c r="AA4" s="15">
        <v>0</v>
      </c>
      <c r="AB4" s="15">
        <v>0</v>
      </c>
      <c r="AC4" s="15">
        <v>0</v>
      </c>
      <c r="AD4" s="15">
        <v>0</v>
      </c>
      <c r="AE4" s="15">
        <v>0</v>
      </c>
      <c r="AF4" s="15">
        <v>0</v>
      </c>
      <c r="AG4" s="15">
        <v>0</v>
      </c>
      <c r="AH4" s="15">
        <v>0</v>
      </c>
      <c r="AI4" s="15">
        <v>0</v>
      </c>
      <c r="AJ4" s="15">
        <v>0</v>
      </c>
      <c r="AK4" s="15">
        <v>0</v>
      </c>
      <c r="AL4" s="15">
        <v>0</v>
      </c>
    </row>
    <row r="5" spans="1:38" x14ac:dyDescent="0.25">
      <c r="A5" s="18" t="s">
        <v>3</v>
      </c>
      <c r="B5" s="19">
        <f>B3*B6/B7</f>
        <v>5</v>
      </c>
      <c r="E5" s="21">
        <f t="shared" si="0"/>
        <v>1.7999999999999998</v>
      </c>
      <c r="F5" s="22">
        <f t="shared" si="1"/>
        <v>8</v>
      </c>
      <c r="G5" s="13">
        <f>0.25*(G18+F19+G20+H19)</f>
        <v>0</v>
      </c>
      <c r="H5" s="13">
        <f t="shared" ref="H5:K5" si="4">0.25*(H18+G19+H20+I19)</f>
        <v>0</v>
      </c>
      <c r="I5" s="13">
        <f t="shared" si="4"/>
        <v>0</v>
      </c>
      <c r="J5" s="13">
        <f t="shared" si="4"/>
        <v>0</v>
      </c>
      <c r="K5" s="13">
        <f t="shared" si="4"/>
        <v>0</v>
      </c>
      <c r="L5" s="13">
        <f t="shared" ref="L5:S5" si="5">0.25*(L18+K19+L20+M19)</f>
        <v>0</v>
      </c>
      <c r="M5" s="13">
        <f t="shared" si="5"/>
        <v>0</v>
      </c>
      <c r="N5" s="13">
        <f t="shared" si="5"/>
        <v>0</v>
      </c>
      <c r="O5" s="13">
        <f t="shared" si="5"/>
        <v>0</v>
      </c>
      <c r="P5" s="13">
        <f t="shared" si="5"/>
        <v>0</v>
      </c>
      <c r="Q5" s="13">
        <f t="shared" si="5"/>
        <v>0</v>
      </c>
      <c r="R5" s="13">
        <f t="shared" si="5"/>
        <v>0</v>
      </c>
      <c r="S5" s="13">
        <f t="shared" si="5"/>
        <v>0</v>
      </c>
      <c r="T5" s="22">
        <f t="shared" si="3"/>
        <v>9</v>
      </c>
      <c r="W5" s="24" t="s">
        <v>15</v>
      </c>
      <c r="X5" s="15">
        <f>F15</f>
        <v>0</v>
      </c>
      <c r="Y5" s="15">
        <f t="shared" ref="Y5:AL5" si="6">G15</f>
        <v>0.2</v>
      </c>
      <c r="Z5" s="15">
        <f t="shared" si="6"/>
        <v>0.4</v>
      </c>
      <c r="AA5" s="15">
        <f t="shared" si="6"/>
        <v>0.60000000000000009</v>
      </c>
      <c r="AB5" s="15">
        <f t="shared" si="6"/>
        <v>0.8</v>
      </c>
      <c r="AC5" s="15">
        <f t="shared" si="6"/>
        <v>1</v>
      </c>
      <c r="AD5" s="15">
        <f t="shared" si="6"/>
        <v>1.2</v>
      </c>
      <c r="AE5" s="15">
        <f t="shared" si="6"/>
        <v>1.4</v>
      </c>
      <c r="AF5" s="15">
        <f t="shared" si="6"/>
        <v>1.5999999999999999</v>
      </c>
      <c r="AG5" s="15">
        <f t="shared" si="6"/>
        <v>1.7999999999999998</v>
      </c>
      <c r="AH5" s="15">
        <f t="shared" si="6"/>
        <v>1.9999999999999998</v>
      </c>
      <c r="AI5" s="15">
        <f t="shared" si="6"/>
        <v>2.1999999999999997</v>
      </c>
      <c r="AJ5" s="15">
        <f t="shared" si="6"/>
        <v>2.4</v>
      </c>
      <c r="AK5" s="15">
        <f t="shared" si="6"/>
        <v>2.6</v>
      </c>
      <c r="AL5" s="15">
        <f t="shared" si="6"/>
        <v>2.8000000000000003</v>
      </c>
    </row>
    <row r="6" spans="1:38" x14ac:dyDescent="0.25">
      <c r="A6" s="18" t="s">
        <v>10</v>
      </c>
      <c r="B6" s="19">
        <v>1</v>
      </c>
      <c r="E6" s="21">
        <f t="shared" si="0"/>
        <v>1.5999999999999999</v>
      </c>
      <c r="F6" s="22">
        <f t="shared" si="1"/>
        <v>6</v>
      </c>
      <c r="G6" s="13">
        <f t="shared" ref="G6:J6" si="7">0.25*(G19+F20+G21+H20)</f>
        <v>0</v>
      </c>
      <c r="H6" s="13">
        <f t="shared" si="7"/>
        <v>0</v>
      </c>
      <c r="I6" s="13">
        <f t="shared" si="7"/>
        <v>0</v>
      </c>
      <c r="J6" s="13">
        <f t="shared" si="7"/>
        <v>0</v>
      </c>
      <c r="K6" s="13">
        <f t="shared" ref="K6:S6" si="8">0.25*(K19+J20+K21+L20)</f>
        <v>0</v>
      </c>
      <c r="L6" s="13">
        <f t="shared" si="8"/>
        <v>0</v>
      </c>
      <c r="M6" s="13">
        <f t="shared" si="8"/>
        <v>0</v>
      </c>
      <c r="N6" s="13">
        <f t="shared" si="8"/>
        <v>0</v>
      </c>
      <c r="O6" s="13">
        <f t="shared" si="8"/>
        <v>0</v>
      </c>
      <c r="P6" s="13">
        <f t="shared" si="8"/>
        <v>0</v>
      </c>
      <c r="Q6" s="13">
        <f t="shared" si="8"/>
        <v>0</v>
      </c>
      <c r="R6" s="13">
        <f t="shared" si="8"/>
        <v>0</v>
      </c>
      <c r="S6" s="13">
        <f t="shared" si="8"/>
        <v>0</v>
      </c>
      <c r="T6" s="22">
        <f t="shared" si="3"/>
        <v>8</v>
      </c>
      <c r="W6" s="24" t="s">
        <v>16</v>
      </c>
      <c r="X6" s="16">
        <f>$E$9</f>
        <v>1</v>
      </c>
      <c r="Y6" s="16">
        <f t="shared" ref="Y6:AB6" si="9">$E$9</f>
        <v>1</v>
      </c>
      <c r="Z6" s="16">
        <f t="shared" si="9"/>
        <v>1</v>
      </c>
      <c r="AA6" s="16">
        <f t="shared" si="9"/>
        <v>1</v>
      </c>
      <c r="AB6" s="16">
        <f t="shared" si="9"/>
        <v>1</v>
      </c>
      <c r="AC6" s="16">
        <f>E10</f>
        <v>0.8</v>
      </c>
      <c r="AD6" s="16">
        <f>E11</f>
        <v>0.60000000000000009</v>
      </c>
      <c r="AE6" s="16">
        <f>E12</f>
        <v>0.4</v>
      </c>
      <c r="AF6" s="16">
        <f>E13</f>
        <v>0.2</v>
      </c>
      <c r="AG6" s="16">
        <f>$E$14</f>
        <v>0</v>
      </c>
      <c r="AH6" s="16">
        <f t="shared" ref="AH6:AL6" si="10">$E$14</f>
        <v>0</v>
      </c>
      <c r="AI6" s="16">
        <f t="shared" si="10"/>
        <v>0</v>
      </c>
      <c r="AJ6" s="16">
        <f t="shared" si="10"/>
        <v>0</v>
      </c>
      <c r="AK6" s="16">
        <f t="shared" si="10"/>
        <v>0</v>
      </c>
      <c r="AL6" s="16">
        <f t="shared" si="10"/>
        <v>0</v>
      </c>
    </row>
    <row r="7" spans="1:38" x14ac:dyDescent="0.25">
      <c r="A7" s="18" t="s">
        <v>11</v>
      </c>
      <c r="B7" s="19">
        <v>2</v>
      </c>
      <c r="E7" s="21">
        <f t="shared" si="0"/>
        <v>1.4</v>
      </c>
      <c r="F7" s="22">
        <f t="shared" si="1"/>
        <v>4</v>
      </c>
      <c r="G7" s="13">
        <f t="shared" ref="G7:J7" si="11">0.25*(G20+F21+G22+H21)</f>
        <v>0</v>
      </c>
      <c r="H7" s="13">
        <f t="shared" si="11"/>
        <v>0</v>
      </c>
      <c r="I7" s="13">
        <f t="shared" si="11"/>
        <v>0</v>
      </c>
      <c r="J7" s="13">
        <f t="shared" si="11"/>
        <v>0</v>
      </c>
      <c r="K7" s="13">
        <f t="shared" ref="K7:S7" si="12">0.25*(K20+J21+K22+L21)</f>
        <v>0</v>
      </c>
      <c r="L7" s="13">
        <f>0.25*(L20+K21+L22+M21)</f>
        <v>0</v>
      </c>
      <c r="M7" s="13">
        <f t="shared" si="12"/>
        <v>0</v>
      </c>
      <c r="N7" s="13">
        <f t="shared" si="12"/>
        <v>0</v>
      </c>
      <c r="O7" s="13">
        <f t="shared" si="12"/>
        <v>0</v>
      </c>
      <c r="P7" s="13">
        <f t="shared" si="12"/>
        <v>0</v>
      </c>
      <c r="Q7" s="13">
        <f t="shared" si="12"/>
        <v>0</v>
      </c>
      <c r="R7" s="13">
        <f t="shared" si="12"/>
        <v>0</v>
      </c>
      <c r="S7" s="13">
        <f t="shared" si="12"/>
        <v>0</v>
      </c>
      <c r="T7" s="22">
        <f t="shared" si="3"/>
        <v>7</v>
      </c>
      <c r="W7" s="24" t="s">
        <v>12</v>
      </c>
      <c r="X7" s="15">
        <f>F36</f>
        <v>10</v>
      </c>
      <c r="Y7" s="16">
        <f t="shared" ref="Y7:AB7" si="13">G36</f>
        <v>0</v>
      </c>
      <c r="Z7" s="16">
        <f t="shared" si="13"/>
        <v>0</v>
      </c>
      <c r="AA7" s="16">
        <f t="shared" si="13"/>
        <v>0</v>
      </c>
      <c r="AB7" s="16">
        <f t="shared" si="13"/>
        <v>0</v>
      </c>
      <c r="AC7" s="16">
        <f>K37</f>
        <v>0</v>
      </c>
      <c r="AD7" s="16">
        <f>L38</f>
        <v>0</v>
      </c>
      <c r="AE7" s="16">
        <f>M39</f>
        <v>0</v>
      </c>
      <c r="AF7" s="16">
        <f>N40</f>
        <v>0</v>
      </c>
      <c r="AG7" s="16">
        <f>O41</f>
        <v>0</v>
      </c>
      <c r="AH7" s="16">
        <f t="shared" ref="AH7:AL7" si="14">P41</f>
        <v>0</v>
      </c>
      <c r="AI7" s="16">
        <f t="shared" si="14"/>
        <v>0</v>
      </c>
      <c r="AJ7" s="16">
        <f t="shared" si="14"/>
        <v>0</v>
      </c>
      <c r="AK7" s="16">
        <f t="shared" si="14"/>
        <v>0</v>
      </c>
      <c r="AL7" s="16">
        <f t="shared" si="14"/>
        <v>5</v>
      </c>
    </row>
    <row r="8" spans="1:38" x14ac:dyDescent="0.25">
      <c r="A8" s="18" t="s">
        <v>4</v>
      </c>
      <c r="B8" s="19">
        <v>350</v>
      </c>
      <c r="C8">
        <v>350</v>
      </c>
      <c r="E8" s="21">
        <f t="shared" si="0"/>
        <v>1.2</v>
      </c>
      <c r="F8" s="22">
        <f>F9+$B$3*$B$1</f>
        <v>2</v>
      </c>
      <c r="G8" s="13">
        <f t="shared" ref="G8:J8" si="15">0.25*(G21+F22+G23+H22)</f>
        <v>0</v>
      </c>
      <c r="H8" s="13">
        <f t="shared" si="15"/>
        <v>0</v>
      </c>
      <c r="I8" s="13">
        <f t="shared" si="15"/>
        <v>0</v>
      </c>
      <c r="J8" s="13">
        <f t="shared" si="15"/>
        <v>0</v>
      </c>
      <c r="K8" s="13">
        <f t="shared" ref="K8:S9" si="16">0.25*(K21+J22+K23+L22)</f>
        <v>0</v>
      </c>
      <c r="L8" s="13">
        <f t="shared" si="16"/>
        <v>0</v>
      </c>
      <c r="M8" s="13">
        <f t="shared" si="16"/>
        <v>0</v>
      </c>
      <c r="N8" s="13">
        <f t="shared" si="16"/>
        <v>0</v>
      </c>
      <c r="O8" s="13">
        <f t="shared" si="16"/>
        <v>0</v>
      </c>
      <c r="P8" s="13">
        <f t="shared" si="16"/>
        <v>0</v>
      </c>
      <c r="Q8" s="13">
        <f t="shared" si="16"/>
        <v>0</v>
      </c>
      <c r="R8" s="13">
        <f t="shared" si="16"/>
        <v>0</v>
      </c>
      <c r="S8" s="13">
        <f t="shared" si="16"/>
        <v>0</v>
      </c>
      <c r="T8" s="22">
        <f t="shared" si="3"/>
        <v>6</v>
      </c>
      <c r="W8" s="24" t="s">
        <v>13</v>
      </c>
      <c r="X8" s="16">
        <f>F49</f>
        <v>0</v>
      </c>
      <c r="Y8" s="16">
        <f t="shared" ref="Y8:AB8" si="17">G49</f>
        <v>0</v>
      </c>
      <c r="Z8" s="16">
        <f t="shared" si="17"/>
        <v>0</v>
      </c>
      <c r="AA8" s="16">
        <f t="shared" si="17"/>
        <v>0</v>
      </c>
      <c r="AB8" s="16">
        <f t="shared" si="17"/>
        <v>0</v>
      </c>
      <c r="AC8" s="16">
        <f>K50</f>
        <v>0</v>
      </c>
      <c r="AD8" s="16">
        <f>L51</f>
        <v>0</v>
      </c>
      <c r="AE8" s="16">
        <f>M52</f>
        <v>0</v>
      </c>
      <c r="AF8" s="16">
        <f>N53</f>
        <v>0</v>
      </c>
      <c r="AG8" s="16">
        <f>O54</f>
        <v>0</v>
      </c>
      <c r="AH8" s="16">
        <f t="shared" ref="AH8:AL8" si="18">P54</f>
        <v>0</v>
      </c>
      <c r="AI8" s="16">
        <f t="shared" si="18"/>
        <v>0</v>
      </c>
      <c r="AJ8" s="16">
        <f t="shared" si="18"/>
        <v>0</v>
      </c>
      <c r="AK8" s="16">
        <f t="shared" si="18"/>
        <v>0</v>
      </c>
      <c r="AL8" s="16">
        <f t="shared" si="18"/>
        <v>0</v>
      </c>
    </row>
    <row r="9" spans="1:38" x14ac:dyDescent="0.25">
      <c r="E9" s="21">
        <f t="shared" si="0"/>
        <v>1</v>
      </c>
      <c r="F9" s="22">
        <v>0</v>
      </c>
      <c r="G9" s="22">
        <v>0</v>
      </c>
      <c r="H9" s="22">
        <v>0</v>
      </c>
      <c r="I9" s="22">
        <v>0</v>
      </c>
      <c r="J9" s="22">
        <v>0</v>
      </c>
      <c r="K9" s="13">
        <f t="shared" si="16"/>
        <v>0</v>
      </c>
      <c r="L9" s="13">
        <f t="shared" ref="L9" si="19">0.25*(L22+K23+L24+M23)</f>
        <v>0</v>
      </c>
      <c r="M9" s="13">
        <f t="shared" ref="M9" si="20">0.25*(M22+L23+M24+N23)</f>
        <v>0</v>
      </c>
      <c r="N9" s="13">
        <f t="shared" ref="N9" si="21">0.25*(N22+M23+N24+O23)</f>
        <v>0</v>
      </c>
      <c r="O9" s="13">
        <f t="shared" ref="O9" si="22">0.25*(O22+N23+O24+P23)</f>
        <v>0</v>
      </c>
      <c r="P9" s="13">
        <f t="shared" ref="P9" si="23">0.25*(P22+O23+P24+Q23)</f>
        <v>0</v>
      </c>
      <c r="Q9" s="13">
        <f t="shared" ref="Q9" si="24">0.25*(Q22+P23+Q24+R23)</f>
        <v>0</v>
      </c>
      <c r="R9" s="13">
        <f t="shared" ref="R9" si="25">0.25*(R22+Q23+R24+S23)</f>
        <v>0</v>
      </c>
      <c r="S9" s="13">
        <f t="shared" ref="S9" si="26">0.25*(S22+R23+S24+T23)</f>
        <v>0</v>
      </c>
      <c r="T9" s="22">
        <f t="shared" si="3"/>
        <v>5</v>
      </c>
      <c r="W9" s="24" t="s">
        <v>19</v>
      </c>
      <c r="X9" s="16">
        <f>F62</f>
        <v>10</v>
      </c>
      <c r="Y9" s="16">
        <f t="shared" ref="Y9:AB9" si="27">G62</f>
        <v>0</v>
      </c>
      <c r="Z9" s="16">
        <f t="shared" si="27"/>
        <v>0</v>
      </c>
      <c r="AA9" s="16">
        <f t="shared" si="27"/>
        <v>0</v>
      </c>
      <c r="AB9" s="16">
        <f t="shared" si="27"/>
        <v>0</v>
      </c>
      <c r="AC9" s="16">
        <f>K63</f>
        <v>0</v>
      </c>
      <c r="AD9" s="16">
        <f>L64</f>
        <v>0</v>
      </c>
      <c r="AE9" s="16">
        <f>M65</f>
        <v>0</v>
      </c>
      <c r="AF9" s="16">
        <f>N66</f>
        <v>0</v>
      </c>
      <c r="AG9" s="16">
        <f>O67</f>
        <v>0</v>
      </c>
      <c r="AH9" s="16">
        <f t="shared" ref="AH9:AL9" si="28">P67</f>
        <v>0</v>
      </c>
      <c r="AI9" s="16">
        <f t="shared" si="28"/>
        <v>0</v>
      </c>
      <c r="AJ9" s="16">
        <f t="shared" si="28"/>
        <v>0</v>
      </c>
      <c r="AK9" s="16">
        <f t="shared" si="28"/>
        <v>0</v>
      </c>
      <c r="AL9" s="16">
        <f t="shared" si="28"/>
        <v>5</v>
      </c>
    </row>
    <row r="10" spans="1:38" x14ac:dyDescent="0.25">
      <c r="A10" s="18" t="s">
        <v>5</v>
      </c>
      <c r="B10" s="19">
        <v>15</v>
      </c>
      <c r="E10" s="21">
        <f t="shared" si="0"/>
        <v>0.8</v>
      </c>
      <c r="F10" s="3"/>
      <c r="G10" s="3"/>
      <c r="H10" s="3"/>
      <c r="I10" s="3"/>
      <c r="J10" s="3"/>
      <c r="K10" s="22">
        <v>0</v>
      </c>
      <c r="L10" s="13">
        <f t="shared" ref="L10" si="29">0.25*(L23+K24+L25+M24)</f>
        <v>0</v>
      </c>
      <c r="M10" s="13">
        <f t="shared" ref="M10" si="30">0.25*(M23+L24+M25+N24)</f>
        <v>0</v>
      </c>
      <c r="N10" s="13">
        <f t="shared" ref="N10" si="31">0.25*(N23+M24+N25+O24)</f>
        <v>0</v>
      </c>
      <c r="O10" s="13">
        <f t="shared" ref="O10" si="32">0.25*(O23+N24+O25+P24)</f>
        <v>0</v>
      </c>
      <c r="P10" s="13">
        <f t="shared" ref="P10" si="33">0.25*(P23+O24+P25+Q24)</f>
        <v>0</v>
      </c>
      <c r="Q10" s="13">
        <f t="shared" ref="Q10" si="34">0.25*(Q23+P24+Q25+R24)</f>
        <v>0</v>
      </c>
      <c r="R10" s="13">
        <f t="shared" ref="R10" si="35">0.25*(R23+Q24+R25+S24)</f>
        <v>0</v>
      </c>
      <c r="S10" s="13">
        <f t="shared" ref="S10" si="36">0.25*(S23+R24+S25+T24)</f>
        <v>0</v>
      </c>
      <c r="T10" s="22">
        <f t="shared" si="3"/>
        <v>4</v>
      </c>
      <c r="W10" s="24" t="s">
        <v>17</v>
      </c>
      <c r="X10" s="15">
        <f>B4</f>
        <v>101325</v>
      </c>
      <c r="Y10" s="15">
        <f>(X10+(X9^2)/2)-(Y9^2)/2</f>
        <v>101375</v>
      </c>
      <c r="Z10" s="15">
        <f t="shared" ref="Z10:AL10" si="37">(Y10+(Y9^2)/2)-(Z9^2)/2</f>
        <v>101375</v>
      </c>
      <c r="AA10" s="15">
        <f t="shared" si="37"/>
        <v>101375</v>
      </c>
      <c r="AB10" s="15">
        <f t="shared" si="37"/>
        <v>101375</v>
      </c>
      <c r="AC10" s="15">
        <f t="shared" si="37"/>
        <v>101375</v>
      </c>
      <c r="AD10" s="15">
        <f t="shared" si="37"/>
        <v>101375</v>
      </c>
      <c r="AE10" s="15">
        <f t="shared" si="37"/>
        <v>101375</v>
      </c>
      <c r="AF10" s="15">
        <f t="shared" si="37"/>
        <v>101375</v>
      </c>
      <c r="AG10" s="15">
        <f t="shared" si="37"/>
        <v>101375</v>
      </c>
      <c r="AH10" s="15">
        <f t="shared" si="37"/>
        <v>101375</v>
      </c>
      <c r="AI10" s="15">
        <f t="shared" si="37"/>
        <v>101375</v>
      </c>
      <c r="AJ10" s="15">
        <f t="shared" si="37"/>
        <v>101375</v>
      </c>
      <c r="AK10" s="15">
        <f t="shared" si="37"/>
        <v>101375</v>
      </c>
      <c r="AL10" s="15">
        <f t="shared" si="37"/>
        <v>101362.5</v>
      </c>
    </row>
    <row r="11" spans="1:38" x14ac:dyDescent="0.25">
      <c r="A11" s="18" t="s">
        <v>6</v>
      </c>
      <c r="B11" s="19">
        <v>11</v>
      </c>
      <c r="E11" s="21">
        <f t="shared" si="0"/>
        <v>0.60000000000000009</v>
      </c>
      <c r="F11" s="3"/>
      <c r="G11" s="3"/>
      <c r="H11" s="3"/>
      <c r="I11" s="3"/>
      <c r="J11" s="3"/>
      <c r="K11" s="3"/>
      <c r="L11" s="22">
        <v>0</v>
      </c>
      <c r="M11" s="13">
        <f t="shared" ref="M11" si="38">0.25*(M24+L25+M26+N25)</f>
        <v>0</v>
      </c>
      <c r="N11" s="13">
        <f t="shared" ref="N11" si="39">0.25*(N24+M25+N26+O25)</f>
        <v>0</v>
      </c>
      <c r="O11" s="13">
        <f t="shared" ref="O11" si="40">0.25*(O24+N25+O26+P25)</f>
        <v>0</v>
      </c>
      <c r="P11" s="13">
        <f t="shared" ref="P11" si="41">0.25*(P24+O25+P26+Q25)</f>
        <v>0</v>
      </c>
      <c r="Q11" s="13">
        <f t="shared" ref="Q11" si="42">0.25*(Q24+P25+Q26+R25)</f>
        <v>0</v>
      </c>
      <c r="R11" s="13">
        <f t="shared" ref="R11" si="43">0.25*(R24+Q25+R26+S25)</f>
        <v>0</v>
      </c>
      <c r="S11" s="13">
        <f t="shared" ref="S11" si="44">0.25*(S24+R25+S26+T25)</f>
        <v>0</v>
      </c>
      <c r="T11" s="22">
        <f t="shared" si="3"/>
        <v>3</v>
      </c>
      <c r="W11" s="24" t="s">
        <v>18</v>
      </c>
      <c r="X11" s="16">
        <f>(X10-$B$4)/(($B$3^2)/2)</f>
        <v>0</v>
      </c>
      <c r="Y11" s="16">
        <f t="shared" ref="Y11:AL11" si="45">(Y10-$B$4)/(($B$3^2)/2)</f>
        <v>1</v>
      </c>
      <c r="Z11" s="16">
        <f t="shared" si="45"/>
        <v>1</v>
      </c>
      <c r="AA11" s="16">
        <f t="shared" si="45"/>
        <v>1</v>
      </c>
      <c r="AB11" s="16">
        <f t="shared" si="45"/>
        <v>1</v>
      </c>
      <c r="AC11" s="16">
        <f t="shared" si="45"/>
        <v>1</v>
      </c>
      <c r="AD11" s="16">
        <f t="shared" si="45"/>
        <v>1</v>
      </c>
      <c r="AE11" s="16">
        <f t="shared" si="45"/>
        <v>1</v>
      </c>
      <c r="AF11" s="16">
        <f t="shared" si="45"/>
        <v>1</v>
      </c>
      <c r="AG11" s="16">
        <f t="shared" si="45"/>
        <v>1</v>
      </c>
      <c r="AH11" s="16">
        <f t="shared" si="45"/>
        <v>1</v>
      </c>
      <c r="AI11" s="16">
        <f t="shared" si="45"/>
        <v>1</v>
      </c>
      <c r="AJ11" s="16">
        <f t="shared" si="45"/>
        <v>1</v>
      </c>
      <c r="AK11" s="16">
        <f t="shared" si="45"/>
        <v>1</v>
      </c>
      <c r="AL11" s="16">
        <f t="shared" si="45"/>
        <v>0.75</v>
      </c>
    </row>
    <row r="12" spans="1:38" x14ac:dyDescent="0.25">
      <c r="A12" s="18" t="s">
        <v>7</v>
      </c>
      <c r="B12" s="19">
        <v>15</v>
      </c>
      <c r="E12" s="21">
        <f t="shared" si="0"/>
        <v>0.4</v>
      </c>
      <c r="F12" s="3"/>
      <c r="G12" s="3"/>
      <c r="H12" s="3"/>
      <c r="I12" s="3"/>
      <c r="J12" s="3"/>
      <c r="K12" s="3"/>
      <c r="L12" s="3"/>
      <c r="M12" s="22">
        <v>0</v>
      </c>
      <c r="N12" s="13">
        <f t="shared" ref="N12" si="46">0.25*(N25+M26+N27+O26)</f>
        <v>0</v>
      </c>
      <c r="O12" s="13">
        <f t="shared" ref="O12" si="47">0.25*(O25+N26+O27+P26)</f>
        <v>0</v>
      </c>
      <c r="P12" s="13">
        <f t="shared" ref="P12" si="48">0.25*(P25+O26+P27+Q26)</f>
        <v>0</v>
      </c>
      <c r="Q12" s="13">
        <f t="shared" ref="Q12" si="49">0.25*(Q25+P26+Q27+R26)</f>
        <v>0</v>
      </c>
      <c r="R12" s="13">
        <f t="shared" ref="R12" si="50">0.25*(R25+Q26+R27+S26)</f>
        <v>0</v>
      </c>
      <c r="S12" s="13">
        <f t="shared" ref="S12" si="51">0.25*(S25+R26+S27+T26)</f>
        <v>0</v>
      </c>
      <c r="T12" s="22">
        <f>T13+(($B$3*$B$6)/$B$7)*$B$1</f>
        <v>2</v>
      </c>
    </row>
    <row r="13" spans="1:38" x14ac:dyDescent="0.25">
      <c r="A13" s="18" t="s">
        <v>8</v>
      </c>
      <c r="B13" s="19">
        <v>6</v>
      </c>
      <c r="E13" s="21">
        <f t="shared" si="0"/>
        <v>0.2</v>
      </c>
      <c r="F13" s="3"/>
      <c r="G13" s="3"/>
      <c r="H13" s="3"/>
      <c r="I13" s="3"/>
      <c r="J13" s="3"/>
      <c r="K13" s="3"/>
      <c r="L13" s="3"/>
      <c r="M13" s="3"/>
      <c r="N13" s="22">
        <v>0</v>
      </c>
      <c r="O13" s="13">
        <f t="shared" ref="O13" si="52">0.25*(O26+N27+O28+P27)</f>
        <v>0</v>
      </c>
      <c r="P13" s="13">
        <f t="shared" ref="P13" si="53">0.25*(P26+O27+P28+Q27)</f>
        <v>0</v>
      </c>
      <c r="Q13" s="13">
        <f t="shared" ref="Q13" si="54">0.25*(Q26+P27+Q28+R27)</f>
        <v>0</v>
      </c>
      <c r="R13" s="13">
        <f t="shared" ref="R13" si="55">0.25*(R26+Q27+R28+S27)</f>
        <v>0</v>
      </c>
      <c r="S13" s="13">
        <f t="shared" ref="S13" si="56">0.25*(S26+R27+S28+T27)</f>
        <v>0</v>
      </c>
      <c r="T13" s="22">
        <f>T14+(($B$3*$B$6)/$B$7)*$B$1</f>
        <v>1</v>
      </c>
    </row>
    <row r="14" spans="1:38" x14ac:dyDescent="0.25">
      <c r="A14" s="18" t="s">
        <v>9</v>
      </c>
      <c r="B14" s="19">
        <v>0</v>
      </c>
      <c r="E14" s="21">
        <v>0</v>
      </c>
      <c r="F14" s="3"/>
      <c r="G14" s="3"/>
      <c r="H14" s="3"/>
      <c r="I14" s="3"/>
      <c r="J14" s="3"/>
      <c r="K14" s="3"/>
      <c r="L14" s="3"/>
      <c r="M14" s="3"/>
      <c r="N14" s="3"/>
      <c r="O14" s="22">
        <v>0</v>
      </c>
      <c r="P14" s="22">
        <v>0</v>
      </c>
      <c r="Q14" s="22">
        <v>0</v>
      </c>
      <c r="R14" s="22">
        <v>0</v>
      </c>
      <c r="S14" s="22">
        <v>0</v>
      </c>
      <c r="T14" s="22">
        <v>0</v>
      </c>
      <c r="W14" s="28">
        <v>0</v>
      </c>
      <c r="X14" s="29">
        <v>1</v>
      </c>
      <c r="Y14" s="28">
        <v>2</v>
      </c>
      <c r="Z14" s="29">
        <v>3</v>
      </c>
      <c r="AA14" s="28">
        <v>4</v>
      </c>
      <c r="AB14" s="29">
        <v>5</v>
      </c>
      <c r="AC14" s="28">
        <v>6</v>
      </c>
      <c r="AD14" s="29">
        <v>7</v>
      </c>
      <c r="AE14" s="28">
        <v>8</v>
      </c>
      <c r="AF14" s="29">
        <v>9</v>
      </c>
      <c r="AG14" s="28">
        <v>10</v>
      </c>
      <c r="AH14" s="29">
        <v>11</v>
      </c>
      <c r="AI14" s="28">
        <v>12</v>
      </c>
      <c r="AJ14" s="29">
        <v>13</v>
      </c>
      <c r="AK14" s="28">
        <v>14</v>
      </c>
      <c r="AL14" s="29">
        <v>15</v>
      </c>
    </row>
    <row r="15" spans="1:38" x14ac:dyDescent="0.25">
      <c r="E15" s="2"/>
      <c r="F15" s="20">
        <v>0</v>
      </c>
      <c r="G15" s="20">
        <f>F15+$B$1</f>
        <v>0.2</v>
      </c>
      <c r="H15" s="20">
        <f t="shared" ref="H15:T15" si="57">G15+$B$1</f>
        <v>0.4</v>
      </c>
      <c r="I15" s="20">
        <f t="shared" si="57"/>
        <v>0.60000000000000009</v>
      </c>
      <c r="J15" s="20">
        <f t="shared" si="57"/>
        <v>0.8</v>
      </c>
      <c r="K15" s="20">
        <f t="shared" si="57"/>
        <v>1</v>
      </c>
      <c r="L15" s="20">
        <f t="shared" si="57"/>
        <v>1.2</v>
      </c>
      <c r="M15" s="20">
        <f t="shared" si="57"/>
        <v>1.4</v>
      </c>
      <c r="N15" s="20">
        <f t="shared" si="57"/>
        <v>1.5999999999999999</v>
      </c>
      <c r="O15" s="20">
        <f t="shared" si="57"/>
        <v>1.7999999999999998</v>
      </c>
      <c r="P15" s="20">
        <f t="shared" si="57"/>
        <v>1.9999999999999998</v>
      </c>
      <c r="Q15" s="20">
        <f t="shared" si="57"/>
        <v>2.1999999999999997</v>
      </c>
      <c r="R15" s="20">
        <f t="shared" si="57"/>
        <v>2.4</v>
      </c>
      <c r="S15" s="20">
        <f t="shared" si="57"/>
        <v>2.6</v>
      </c>
      <c r="T15" s="20">
        <f t="shared" si="57"/>
        <v>2.8000000000000003</v>
      </c>
      <c r="W15" s="24" t="s">
        <v>14</v>
      </c>
      <c r="X15" s="15">
        <f>F4</f>
        <v>10</v>
      </c>
      <c r="Y15" s="15">
        <f t="shared" ref="Y15:AL15" si="58">G4</f>
        <v>10</v>
      </c>
      <c r="Z15" s="15">
        <f t="shared" si="58"/>
        <v>10</v>
      </c>
      <c r="AA15" s="15">
        <f t="shared" si="58"/>
        <v>10</v>
      </c>
      <c r="AB15" s="15">
        <f t="shared" si="58"/>
        <v>10</v>
      </c>
      <c r="AC15" s="15">
        <f t="shared" si="58"/>
        <v>10</v>
      </c>
      <c r="AD15" s="15">
        <f t="shared" si="58"/>
        <v>10</v>
      </c>
      <c r="AE15" s="15">
        <f t="shared" si="58"/>
        <v>10</v>
      </c>
      <c r="AF15" s="15">
        <f t="shared" si="58"/>
        <v>10</v>
      </c>
      <c r="AG15" s="15">
        <f t="shared" si="58"/>
        <v>10</v>
      </c>
      <c r="AH15" s="15">
        <f t="shared" si="58"/>
        <v>10</v>
      </c>
      <c r="AI15" s="15">
        <f t="shared" si="58"/>
        <v>10</v>
      </c>
      <c r="AJ15" s="15">
        <f t="shared" si="58"/>
        <v>10</v>
      </c>
      <c r="AK15" s="15">
        <f t="shared" si="58"/>
        <v>10</v>
      </c>
      <c r="AL15" s="15">
        <f t="shared" si="58"/>
        <v>10</v>
      </c>
    </row>
    <row r="16" spans="1:38" x14ac:dyDescent="0.25">
      <c r="W16" s="24" t="s">
        <v>15</v>
      </c>
      <c r="X16" s="15">
        <f>F15</f>
        <v>0</v>
      </c>
      <c r="Y16" s="15">
        <f t="shared" ref="Y16:AL16" si="59">G15</f>
        <v>0.2</v>
      </c>
      <c r="Z16" s="15">
        <f t="shared" si="59"/>
        <v>0.4</v>
      </c>
      <c r="AA16" s="15">
        <f t="shared" si="59"/>
        <v>0.60000000000000009</v>
      </c>
      <c r="AB16" s="15">
        <f t="shared" si="59"/>
        <v>0.8</v>
      </c>
      <c r="AC16" s="15">
        <f t="shared" si="59"/>
        <v>1</v>
      </c>
      <c r="AD16" s="15">
        <f t="shared" si="59"/>
        <v>1.2</v>
      </c>
      <c r="AE16" s="15">
        <f t="shared" si="59"/>
        <v>1.4</v>
      </c>
      <c r="AF16" s="15">
        <f t="shared" si="59"/>
        <v>1.5999999999999999</v>
      </c>
      <c r="AG16" s="15">
        <f t="shared" si="59"/>
        <v>1.7999999999999998</v>
      </c>
      <c r="AH16" s="15">
        <f t="shared" si="59"/>
        <v>1.9999999999999998</v>
      </c>
      <c r="AI16" s="15">
        <f t="shared" si="59"/>
        <v>2.1999999999999997</v>
      </c>
      <c r="AJ16" s="15">
        <f t="shared" si="59"/>
        <v>2.4</v>
      </c>
      <c r="AK16" s="15">
        <f t="shared" si="59"/>
        <v>2.6</v>
      </c>
      <c r="AL16" s="15">
        <f t="shared" si="59"/>
        <v>2.8000000000000003</v>
      </c>
    </row>
    <row r="17" spans="5:41" x14ac:dyDescent="0.25">
      <c r="W17" s="24" t="s">
        <v>16</v>
      </c>
      <c r="X17" s="16">
        <f>$E$4</f>
        <v>1.9999999999999998</v>
      </c>
      <c r="Y17" s="16">
        <f t="shared" ref="Y17:AL17" si="60">$E$4</f>
        <v>1.9999999999999998</v>
      </c>
      <c r="Z17" s="16">
        <f t="shared" si="60"/>
        <v>1.9999999999999998</v>
      </c>
      <c r="AA17" s="16">
        <f t="shared" si="60"/>
        <v>1.9999999999999998</v>
      </c>
      <c r="AB17" s="16">
        <f t="shared" si="60"/>
        <v>1.9999999999999998</v>
      </c>
      <c r="AC17" s="16">
        <f t="shared" si="60"/>
        <v>1.9999999999999998</v>
      </c>
      <c r="AD17" s="16">
        <f t="shared" si="60"/>
        <v>1.9999999999999998</v>
      </c>
      <c r="AE17" s="16">
        <f t="shared" si="60"/>
        <v>1.9999999999999998</v>
      </c>
      <c r="AF17" s="16">
        <f t="shared" si="60"/>
        <v>1.9999999999999998</v>
      </c>
      <c r="AG17" s="16">
        <f t="shared" si="60"/>
        <v>1.9999999999999998</v>
      </c>
      <c r="AH17" s="16">
        <f t="shared" si="60"/>
        <v>1.9999999999999998</v>
      </c>
      <c r="AI17" s="16">
        <f t="shared" si="60"/>
        <v>1.9999999999999998</v>
      </c>
      <c r="AJ17" s="16">
        <f t="shared" si="60"/>
        <v>1.9999999999999998</v>
      </c>
      <c r="AK17" s="16">
        <f t="shared" si="60"/>
        <v>1.9999999999999998</v>
      </c>
      <c r="AL17" s="16">
        <f t="shared" si="60"/>
        <v>1.9999999999999998</v>
      </c>
    </row>
    <row r="18" spans="5:41" x14ac:dyDescent="0.25">
      <c r="E18" s="25" t="s">
        <v>21</v>
      </c>
      <c r="F18" s="10">
        <v>0</v>
      </c>
      <c r="G18" s="7">
        <v>0</v>
      </c>
      <c r="H18" s="7">
        <v>0</v>
      </c>
      <c r="I18" s="7">
        <v>0</v>
      </c>
      <c r="J18" s="7">
        <v>0</v>
      </c>
      <c r="K18" s="7">
        <v>0</v>
      </c>
      <c r="L18" s="7">
        <v>0</v>
      </c>
      <c r="M18" s="7">
        <v>0</v>
      </c>
      <c r="N18" s="7">
        <v>0</v>
      </c>
      <c r="O18" s="7">
        <v>0</v>
      </c>
      <c r="P18" s="7">
        <v>0</v>
      </c>
      <c r="Q18" s="7">
        <v>0</v>
      </c>
      <c r="R18" s="7">
        <v>0</v>
      </c>
      <c r="S18" s="7">
        <v>0</v>
      </c>
      <c r="T18" s="8">
        <v>0</v>
      </c>
      <c r="W18" s="24" t="s">
        <v>12</v>
      </c>
      <c r="X18" s="16">
        <f>F31</f>
        <v>10</v>
      </c>
      <c r="Y18" s="16">
        <f t="shared" ref="Y18:AL18" si="61">G31</f>
        <v>50</v>
      </c>
      <c r="Z18" s="16">
        <f t="shared" si="61"/>
        <v>50</v>
      </c>
      <c r="AA18" s="16">
        <f t="shared" si="61"/>
        <v>50</v>
      </c>
      <c r="AB18" s="16">
        <f t="shared" si="61"/>
        <v>50</v>
      </c>
      <c r="AC18" s="16">
        <f t="shared" si="61"/>
        <v>50</v>
      </c>
      <c r="AD18" s="16">
        <f t="shared" si="61"/>
        <v>50</v>
      </c>
      <c r="AE18" s="16">
        <f t="shared" si="61"/>
        <v>50</v>
      </c>
      <c r="AF18" s="16">
        <f t="shared" si="61"/>
        <v>50</v>
      </c>
      <c r="AG18" s="16">
        <f t="shared" si="61"/>
        <v>50</v>
      </c>
      <c r="AH18" s="16">
        <f t="shared" si="61"/>
        <v>50</v>
      </c>
      <c r="AI18" s="16">
        <f t="shared" si="61"/>
        <v>50</v>
      </c>
      <c r="AJ18" s="16">
        <f t="shared" si="61"/>
        <v>50</v>
      </c>
      <c r="AK18" s="16">
        <f t="shared" si="61"/>
        <v>50</v>
      </c>
      <c r="AL18" s="16">
        <f t="shared" si="61"/>
        <v>5</v>
      </c>
    </row>
    <row r="19" spans="5:41" x14ac:dyDescent="0.25">
      <c r="F19" s="10">
        <v>0</v>
      </c>
      <c r="G19" s="7">
        <v>0</v>
      </c>
      <c r="H19" s="7">
        <v>0</v>
      </c>
      <c r="I19" s="7">
        <v>0</v>
      </c>
      <c r="J19" s="7">
        <v>0</v>
      </c>
      <c r="K19" s="7">
        <v>0</v>
      </c>
      <c r="L19" s="7">
        <v>0</v>
      </c>
      <c r="M19" s="7">
        <v>0</v>
      </c>
      <c r="N19" s="7">
        <v>0</v>
      </c>
      <c r="O19" s="7">
        <v>0</v>
      </c>
      <c r="P19" s="7">
        <v>0</v>
      </c>
      <c r="Q19" s="7">
        <v>0</v>
      </c>
      <c r="R19" s="7">
        <v>0</v>
      </c>
      <c r="S19" s="7">
        <v>0</v>
      </c>
      <c r="T19" s="8">
        <v>0</v>
      </c>
      <c r="W19" s="24" t="s">
        <v>13</v>
      </c>
      <c r="X19" s="16">
        <f>F44</f>
        <v>0</v>
      </c>
      <c r="Y19" s="16">
        <f t="shared" ref="Y19:AL19" si="62">G44</f>
        <v>0</v>
      </c>
      <c r="Z19" s="16">
        <f t="shared" si="62"/>
        <v>0</v>
      </c>
      <c r="AA19" s="16">
        <f t="shared" si="62"/>
        <v>0</v>
      </c>
      <c r="AB19" s="16">
        <f t="shared" si="62"/>
        <v>0</v>
      </c>
      <c r="AC19" s="16">
        <f t="shared" si="62"/>
        <v>0</v>
      </c>
      <c r="AD19" s="16">
        <f t="shared" si="62"/>
        <v>0</v>
      </c>
      <c r="AE19" s="16">
        <f t="shared" si="62"/>
        <v>0</v>
      </c>
      <c r="AF19" s="16">
        <f t="shared" si="62"/>
        <v>0</v>
      </c>
      <c r="AG19" s="16">
        <f t="shared" si="62"/>
        <v>0</v>
      </c>
      <c r="AH19" s="16">
        <f t="shared" si="62"/>
        <v>0</v>
      </c>
      <c r="AI19" s="16">
        <f t="shared" si="62"/>
        <v>0</v>
      </c>
      <c r="AJ19" s="16">
        <f t="shared" si="62"/>
        <v>0</v>
      </c>
      <c r="AK19" s="16">
        <f t="shared" si="62"/>
        <v>0</v>
      </c>
      <c r="AL19" s="16">
        <f t="shared" si="62"/>
        <v>0</v>
      </c>
      <c r="AM19" s="1"/>
      <c r="AN19" s="1"/>
      <c r="AO19" s="1"/>
    </row>
    <row r="20" spans="5:41" x14ac:dyDescent="0.25">
      <c r="F20" s="10">
        <v>0</v>
      </c>
      <c r="G20" s="7">
        <v>0</v>
      </c>
      <c r="H20" s="7">
        <v>0</v>
      </c>
      <c r="I20" s="7">
        <v>0</v>
      </c>
      <c r="J20" s="7">
        <v>0</v>
      </c>
      <c r="K20" s="7">
        <v>0</v>
      </c>
      <c r="L20" s="7">
        <v>0</v>
      </c>
      <c r="M20" s="7">
        <v>0</v>
      </c>
      <c r="N20" s="7">
        <v>0</v>
      </c>
      <c r="O20" s="7">
        <v>0</v>
      </c>
      <c r="P20" s="7">
        <v>0</v>
      </c>
      <c r="Q20" s="7">
        <v>0</v>
      </c>
      <c r="R20" s="7">
        <v>0</v>
      </c>
      <c r="S20" s="7">
        <v>0</v>
      </c>
      <c r="T20" s="8">
        <v>0</v>
      </c>
      <c r="W20" s="24" t="s">
        <v>19</v>
      </c>
      <c r="X20" s="16">
        <f>F57</f>
        <v>10</v>
      </c>
      <c r="Y20" s="16">
        <f t="shared" ref="Y20:AL20" si="63">G57</f>
        <v>50</v>
      </c>
      <c r="Z20" s="16">
        <f t="shared" si="63"/>
        <v>50</v>
      </c>
      <c r="AA20" s="16">
        <f t="shared" si="63"/>
        <v>50</v>
      </c>
      <c r="AB20" s="16">
        <f t="shared" si="63"/>
        <v>50</v>
      </c>
      <c r="AC20" s="16">
        <f t="shared" si="63"/>
        <v>50</v>
      </c>
      <c r="AD20" s="16">
        <f t="shared" si="63"/>
        <v>50</v>
      </c>
      <c r="AE20" s="16">
        <f t="shared" si="63"/>
        <v>50</v>
      </c>
      <c r="AF20" s="16">
        <f t="shared" si="63"/>
        <v>50</v>
      </c>
      <c r="AG20" s="16">
        <f t="shared" si="63"/>
        <v>50</v>
      </c>
      <c r="AH20" s="16">
        <f t="shared" si="63"/>
        <v>50</v>
      </c>
      <c r="AI20" s="16">
        <f t="shared" si="63"/>
        <v>50</v>
      </c>
      <c r="AJ20" s="16">
        <f t="shared" si="63"/>
        <v>50</v>
      </c>
      <c r="AK20" s="16">
        <f t="shared" si="63"/>
        <v>50</v>
      </c>
      <c r="AL20" s="16">
        <f t="shared" si="63"/>
        <v>5</v>
      </c>
    </row>
    <row r="21" spans="5:41" x14ac:dyDescent="0.25">
      <c r="F21" s="10">
        <v>0</v>
      </c>
      <c r="G21" s="7">
        <v>0</v>
      </c>
      <c r="H21" s="7">
        <v>0</v>
      </c>
      <c r="I21" s="7">
        <v>0</v>
      </c>
      <c r="J21" s="7">
        <v>0</v>
      </c>
      <c r="K21" s="7">
        <v>0</v>
      </c>
      <c r="L21" s="7">
        <v>0</v>
      </c>
      <c r="M21" s="7">
        <v>0</v>
      </c>
      <c r="N21" s="7">
        <v>0</v>
      </c>
      <c r="O21" s="7">
        <v>0</v>
      </c>
      <c r="P21" s="7">
        <v>0</v>
      </c>
      <c r="Q21" s="7">
        <v>0</v>
      </c>
      <c r="R21" s="7">
        <v>0</v>
      </c>
      <c r="S21" s="7">
        <v>0</v>
      </c>
      <c r="T21" s="8">
        <v>0</v>
      </c>
      <c r="W21" s="24" t="s">
        <v>17</v>
      </c>
      <c r="X21" s="15">
        <f>X10</f>
        <v>101325</v>
      </c>
      <c r="Y21" s="15">
        <f>(X21+(X20^2)/2)-(Y20^2)/2</f>
        <v>100125</v>
      </c>
      <c r="Z21" s="15">
        <f t="shared" ref="Z21:AL21" si="64">(Y21+(Y20^2)/2)-(Z20^2)/2</f>
        <v>100125</v>
      </c>
      <c r="AA21" s="15">
        <f t="shared" si="64"/>
        <v>100125</v>
      </c>
      <c r="AB21" s="15">
        <f t="shared" si="64"/>
        <v>100125</v>
      </c>
      <c r="AC21" s="15">
        <f t="shared" si="64"/>
        <v>100125</v>
      </c>
      <c r="AD21" s="15">
        <f t="shared" si="64"/>
        <v>100125</v>
      </c>
      <c r="AE21" s="15">
        <f t="shared" si="64"/>
        <v>100125</v>
      </c>
      <c r="AF21" s="15">
        <f t="shared" si="64"/>
        <v>100125</v>
      </c>
      <c r="AG21" s="15">
        <f t="shared" si="64"/>
        <v>100125</v>
      </c>
      <c r="AH21" s="15">
        <f t="shared" si="64"/>
        <v>100125</v>
      </c>
      <c r="AI21" s="15">
        <f t="shared" si="64"/>
        <v>100125</v>
      </c>
      <c r="AJ21" s="15">
        <f t="shared" si="64"/>
        <v>100125</v>
      </c>
      <c r="AK21" s="15">
        <f t="shared" si="64"/>
        <v>100125</v>
      </c>
      <c r="AL21" s="15">
        <f t="shared" si="64"/>
        <v>101362.5</v>
      </c>
    </row>
    <row r="22" spans="5:41" x14ac:dyDescent="0.25">
      <c r="F22" s="10">
        <v>0</v>
      </c>
      <c r="G22" s="7">
        <v>0</v>
      </c>
      <c r="H22" s="7">
        <v>0</v>
      </c>
      <c r="I22" s="7">
        <v>0</v>
      </c>
      <c r="J22" s="7">
        <v>0</v>
      </c>
      <c r="K22" s="7">
        <v>0</v>
      </c>
      <c r="L22" s="7">
        <v>0</v>
      </c>
      <c r="M22" s="7">
        <v>0</v>
      </c>
      <c r="N22" s="7">
        <v>0</v>
      </c>
      <c r="O22" s="7">
        <v>0</v>
      </c>
      <c r="P22" s="7">
        <v>0</v>
      </c>
      <c r="Q22" s="7">
        <v>0</v>
      </c>
      <c r="R22" s="7">
        <v>0</v>
      </c>
      <c r="S22" s="7">
        <v>0</v>
      </c>
      <c r="T22" s="8">
        <v>0</v>
      </c>
      <c r="W22" s="24" t="s">
        <v>18</v>
      </c>
      <c r="X22" s="16">
        <f>(X21-$B$4)/(($B$3^2)/2)</f>
        <v>0</v>
      </c>
      <c r="Y22" s="16">
        <f t="shared" ref="Y22:AL22" si="65">(Y21-$B$4)/(($B$3^2)/2)</f>
        <v>-24</v>
      </c>
      <c r="Z22" s="16">
        <f t="shared" si="65"/>
        <v>-24</v>
      </c>
      <c r="AA22" s="16">
        <f t="shared" si="65"/>
        <v>-24</v>
      </c>
      <c r="AB22" s="16">
        <f t="shared" si="65"/>
        <v>-24</v>
      </c>
      <c r="AC22" s="16">
        <f t="shared" si="65"/>
        <v>-24</v>
      </c>
      <c r="AD22" s="16">
        <f t="shared" si="65"/>
        <v>-24</v>
      </c>
      <c r="AE22" s="16">
        <f t="shared" si="65"/>
        <v>-24</v>
      </c>
      <c r="AF22" s="16">
        <f t="shared" si="65"/>
        <v>-24</v>
      </c>
      <c r="AG22" s="16">
        <f t="shared" si="65"/>
        <v>-24</v>
      </c>
      <c r="AH22" s="16">
        <f t="shared" si="65"/>
        <v>-24</v>
      </c>
      <c r="AI22" s="16">
        <f t="shared" si="65"/>
        <v>-24</v>
      </c>
      <c r="AJ22" s="16">
        <f t="shared" si="65"/>
        <v>-24</v>
      </c>
      <c r="AK22" s="16">
        <f t="shared" si="65"/>
        <v>-24</v>
      </c>
      <c r="AL22" s="16">
        <f t="shared" si="65"/>
        <v>0.75</v>
      </c>
    </row>
    <row r="23" spans="5:41" x14ac:dyDescent="0.25">
      <c r="F23" s="10">
        <v>0</v>
      </c>
      <c r="G23" s="7">
        <v>0</v>
      </c>
      <c r="H23" s="7">
        <v>0</v>
      </c>
      <c r="I23" s="7">
        <v>0</v>
      </c>
      <c r="J23" s="7">
        <v>0</v>
      </c>
      <c r="K23" s="7">
        <v>0</v>
      </c>
      <c r="L23" s="7">
        <v>0</v>
      </c>
      <c r="M23" s="7">
        <v>0</v>
      </c>
      <c r="N23" s="7">
        <v>0</v>
      </c>
      <c r="O23" s="7">
        <v>0</v>
      </c>
      <c r="P23" s="7">
        <v>0</v>
      </c>
      <c r="Q23" s="7">
        <v>0</v>
      </c>
      <c r="R23" s="7">
        <v>0</v>
      </c>
      <c r="S23" s="7">
        <v>0</v>
      </c>
      <c r="T23" s="8">
        <v>0</v>
      </c>
    </row>
    <row r="24" spans="5:41" x14ac:dyDescent="0.25">
      <c r="F24" s="4"/>
      <c r="G24" s="12"/>
      <c r="H24" s="12"/>
      <c r="I24" s="12"/>
      <c r="J24" s="12"/>
      <c r="K24" s="11">
        <v>0</v>
      </c>
      <c r="L24" s="11">
        <v>0</v>
      </c>
      <c r="M24" s="11">
        <v>0</v>
      </c>
      <c r="N24" s="11">
        <v>0</v>
      </c>
      <c r="O24" s="11">
        <v>0</v>
      </c>
      <c r="P24" s="11">
        <v>0</v>
      </c>
      <c r="Q24" s="11">
        <v>0</v>
      </c>
      <c r="R24" s="11">
        <v>0</v>
      </c>
      <c r="S24" s="11">
        <v>0</v>
      </c>
      <c r="T24" s="11">
        <v>0</v>
      </c>
    </row>
    <row r="25" spans="5:41" x14ac:dyDescent="0.25">
      <c r="F25" s="4"/>
      <c r="G25" s="12"/>
      <c r="H25" s="12"/>
      <c r="I25" s="12"/>
      <c r="J25" s="12"/>
      <c r="K25" s="12"/>
      <c r="L25" s="11">
        <v>0</v>
      </c>
      <c r="M25" s="11">
        <v>0</v>
      </c>
      <c r="N25" s="11">
        <v>0</v>
      </c>
      <c r="O25" s="11">
        <v>0</v>
      </c>
      <c r="P25" s="11">
        <v>0</v>
      </c>
      <c r="Q25" s="11">
        <v>0</v>
      </c>
      <c r="R25" s="11">
        <v>0</v>
      </c>
      <c r="S25" s="11">
        <v>0</v>
      </c>
      <c r="T25" s="11">
        <v>0</v>
      </c>
    </row>
    <row r="26" spans="5:41" x14ac:dyDescent="0.25">
      <c r="F26" s="4"/>
      <c r="G26" s="12"/>
      <c r="H26" s="12"/>
      <c r="I26" s="12"/>
      <c r="J26" s="12"/>
      <c r="K26" s="12"/>
      <c r="L26" s="12"/>
      <c r="M26" s="11">
        <v>0</v>
      </c>
      <c r="N26" s="11">
        <v>0</v>
      </c>
      <c r="O26" s="11">
        <v>0</v>
      </c>
      <c r="P26" s="11">
        <v>0</v>
      </c>
      <c r="Q26" s="11">
        <v>0</v>
      </c>
      <c r="R26" s="11">
        <v>0</v>
      </c>
      <c r="S26" s="11">
        <v>0</v>
      </c>
      <c r="T26" s="11">
        <v>0</v>
      </c>
    </row>
    <row r="27" spans="5:41" x14ac:dyDescent="0.25">
      <c r="F27" s="4"/>
      <c r="G27" s="12"/>
      <c r="H27" s="12"/>
      <c r="I27" s="12"/>
      <c r="J27" s="12"/>
      <c r="K27" s="12"/>
      <c r="L27" s="12"/>
      <c r="M27" s="12"/>
      <c r="N27" s="11">
        <v>0</v>
      </c>
      <c r="O27" s="11">
        <v>0</v>
      </c>
      <c r="P27" s="11">
        <v>0</v>
      </c>
      <c r="Q27" s="11">
        <v>0</v>
      </c>
      <c r="R27" s="11">
        <v>0</v>
      </c>
      <c r="S27" s="11">
        <v>0</v>
      </c>
      <c r="T27" s="11">
        <v>0</v>
      </c>
    </row>
    <row r="28" spans="5:41" x14ac:dyDescent="0.25">
      <c r="O28" s="5">
        <v>0</v>
      </c>
      <c r="P28" s="6">
        <v>0</v>
      </c>
      <c r="Q28" s="6">
        <v>0</v>
      </c>
      <c r="R28" s="6">
        <v>0</v>
      </c>
      <c r="S28" s="6">
        <v>0</v>
      </c>
      <c r="T28" s="9">
        <v>0</v>
      </c>
    </row>
    <row r="31" spans="5:41" x14ac:dyDescent="0.25">
      <c r="E31" s="25" t="s">
        <v>12</v>
      </c>
      <c r="F31" s="24">
        <f>(F4-F5)/$B$1</f>
        <v>10</v>
      </c>
      <c r="G31" s="23">
        <f>(G4-G5)/$B$1</f>
        <v>50</v>
      </c>
      <c r="H31" s="23">
        <f t="shared" ref="H31:T31" si="66">(H4-H5)/$B$1</f>
        <v>50</v>
      </c>
      <c r="I31" s="23">
        <f t="shared" si="66"/>
        <v>50</v>
      </c>
      <c r="J31" s="23">
        <f t="shared" si="66"/>
        <v>50</v>
      </c>
      <c r="K31" s="23">
        <f t="shared" si="66"/>
        <v>50</v>
      </c>
      <c r="L31" s="23">
        <f t="shared" si="66"/>
        <v>50</v>
      </c>
      <c r="M31" s="23">
        <f t="shared" si="66"/>
        <v>50</v>
      </c>
      <c r="N31" s="23">
        <f t="shared" si="66"/>
        <v>50</v>
      </c>
      <c r="O31" s="23">
        <f t="shared" si="66"/>
        <v>50</v>
      </c>
      <c r="P31" s="23">
        <f t="shared" si="66"/>
        <v>50</v>
      </c>
      <c r="Q31" s="23">
        <f t="shared" si="66"/>
        <v>50</v>
      </c>
      <c r="R31" s="23">
        <f t="shared" si="66"/>
        <v>50</v>
      </c>
      <c r="S31" s="23">
        <f t="shared" si="66"/>
        <v>50</v>
      </c>
      <c r="T31" s="24">
        <f t="shared" si="66"/>
        <v>5</v>
      </c>
    </row>
    <row r="32" spans="5:41" x14ac:dyDescent="0.25">
      <c r="F32" s="24">
        <f t="shared" ref="F32:F35" si="67">(F5-F6)/$B$1</f>
        <v>10</v>
      </c>
      <c r="G32" s="14">
        <f t="shared" ref="G32:S32" si="68">(G4-G6)/(2*$B$1)</f>
        <v>25</v>
      </c>
      <c r="H32" s="14">
        <f t="shared" si="68"/>
        <v>25</v>
      </c>
      <c r="I32" s="14">
        <f t="shared" si="68"/>
        <v>25</v>
      </c>
      <c r="J32" s="14">
        <f t="shared" si="68"/>
        <v>25</v>
      </c>
      <c r="K32" s="14">
        <f t="shared" si="68"/>
        <v>25</v>
      </c>
      <c r="L32" s="14">
        <f t="shared" si="68"/>
        <v>25</v>
      </c>
      <c r="M32" s="14">
        <f t="shared" si="68"/>
        <v>25</v>
      </c>
      <c r="N32" s="14">
        <f t="shared" si="68"/>
        <v>25</v>
      </c>
      <c r="O32" s="14">
        <f t="shared" si="68"/>
        <v>25</v>
      </c>
      <c r="P32" s="14">
        <f t="shared" si="68"/>
        <v>25</v>
      </c>
      <c r="Q32" s="14">
        <f t="shared" si="68"/>
        <v>25</v>
      </c>
      <c r="R32" s="14">
        <f t="shared" si="68"/>
        <v>25</v>
      </c>
      <c r="S32" s="14">
        <f t="shared" si="68"/>
        <v>25</v>
      </c>
      <c r="T32" s="24">
        <f t="shared" ref="T32" si="69">(T5-T6)/$B$1</f>
        <v>5</v>
      </c>
    </row>
    <row r="33" spans="5:37" x14ac:dyDescent="0.25">
      <c r="F33" s="24">
        <f t="shared" si="67"/>
        <v>10</v>
      </c>
      <c r="G33" s="14">
        <f t="shared" ref="G33:S33" si="70">(G5-G7)/(2*$B$1)</f>
        <v>0</v>
      </c>
      <c r="H33" s="14">
        <f t="shared" si="70"/>
        <v>0</v>
      </c>
      <c r="I33" s="14">
        <f t="shared" si="70"/>
        <v>0</v>
      </c>
      <c r="J33" s="14">
        <f t="shared" si="70"/>
        <v>0</v>
      </c>
      <c r="K33" s="14">
        <f t="shared" si="70"/>
        <v>0</v>
      </c>
      <c r="L33" s="14">
        <f t="shared" si="70"/>
        <v>0</v>
      </c>
      <c r="M33" s="14">
        <f t="shared" si="70"/>
        <v>0</v>
      </c>
      <c r="N33" s="14">
        <f t="shared" si="70"/>
        <v>0</v>
      </c>
      <c r="O33" s="14">
        <f t="shared" si="70"/>
        <v>0</v>
      </c>
      <c r="P33" s="14">
        <f t="shared" si="70"/>
        <v>0</v>
      </c>
      <c r="Q33" s="14">
        <f t="shared" si="70"/>
        <v>0</v>
      </c>
      <c r="R33" s="14">
        <f t="shared" si="70"/>
        <v>0</v>
      </c>
      <c r="S33" s="14">
        <f t="shared" si="70"/>
        <v>0</v>
      </c>
      <c r="T33" s="24">
        <f t="shared" ref="T33" si="71">(T6-T7)/$B$1</f>
        <v>5</v>
      </c>
    </row>
    <row r="34" spans="5:37" x14ac:dyDescent="0.25">
      <c r="F34" s="24">
        <f t="shared" si="67"/>
        <v>10</v>
      </c>
      <c r="G34" s="14">
        <f t="shared" ref="G34:S34" si="72">(G6-G8)/(2*$B$1)</f>
        <v>0</v>
      </c>
      <c r="H34" s="14">
        <f t="shared" si="72"/>
        <v>0</v>
      </c>
      <c r="I34" s="14">
        <f t="shared" si="72"/>
        <v>0</v>
      </c>
      <c r="J34" s="14">
        <f t="shared" si="72"/>
        <v>0</v>
      </c>
      <c r="K34" s="14">
        <f t="shared" si="72"/>
        <v>0</v>
      </c>
      <c r="L34" s="14">
        <f t="shared" si="72"/>
        <v>0</v>
      </c>
      <c r="M34" s="14">
        <f t="shared" si="72"/>
        <v>0</v>
      </c>
      <c r="N34" s="14">
        <f t="shared" si="72"/>
        <v>0</v>
      </c>
      <c r="O34" s="14">
        <f t="shared" si="72"/>
        <v>0</v>
      </c>
      <c r="P34" s="14">
        <f t="shared" si="72"/>
        <v>0</v>
      </c>
      <c r="Q34" s="14">
        <f t="shared" si="72"/>
        <v>0</v>
      </c>
      <c r="R34" s="14">
        <f t="shared" si="72"/>
        <v>0</v>
      </c>
      <c r="S34" s="14">
        <f t="shared" si="72"/>
        <v>0</v>
      </c>
      <c r="T34" s="24">
        <f t="shared" ref="T34" si="73">(T7-T8)/$B$1</f>
        <v>5</v>
      </c>
    </row>
    <row r="35" spans="5:37" x14ac:dyDescent="0.25">
      <c r="F35" s="24">
        <f t="shared" si="67"/>
        <v>10</v>
      </c>
      <c r="G35" s="14">
        <f t="shared" ref="G35:S38" si="74">(G7-G9)/(2*$B$1)</f>
        <v>0</v>
      </c>
      <c r="H35" s="14">
        <f t="shared" si="74"/>
        <v>0</v>
      </c>
      <c r="I35" s="14">
        <f t="shared" si="74"/>
        <v>0</v>
      </c>
      <c r="J35" s="14">
        <f t="shared" si="74"/>
        <v>0</v>
      </c>
      <c r="K35" s="14">
        <f t="shared" si="74"/>
        <v>0</v>
      </c>
      <c r="L35" s="14">
        <f t="shared" si="74"/>
        <v>0</v>
      </c>
      <c r="M35" s="14">
        <f t="shared" si="74"/>
        <v>0</v>
      </c>
      <c r="N35" s="14">
        <f t="shared" si="74"/>
        <v>0</v>
      </c>
      <c r="O35" s="14">
        <f t="shared" si="74"/>
        <v>0</v>
      </c>
      <c r="P35" s="14">
        <f t="shared" si="74"/>
        <v>0</v>
      </c>
      <c r="Q35" s="14">
        <f t="shared" si="74"/>
        <v>0</v>
      </c>
      <c r="R35" s="14">
        <f t="shared" si="74"/>
        <v>0</v>
      </c>
      <c r="S35" s="14">
        <f t="shared" si="74"/>
        <v>0</v>
      </c>
      <c r="T35" s="24">
        <f t="shared" ref="T35" si="75">(T8-T9)/$B$1</f>
        <v>5</v>
      </c>
    </row>
    <row r="36" spans="5:37" x14ac:dyDescent="0.25">
      <c r="F36" s="24">
        <f>(F8-F9)/$B$1</f>
        <v>10</v>
      </c>
      <c r="G36" s="23">
        <f t="shared" ref="G36:J36" si="76">(G8-G9)/$B$1</f>
        <v>0</v>
      </c>
      <c r="H36" s="23">
        <f t="shared" si="76"/>
        <v>0</v>
      </c>
      <c r="I36" s="23">
        <f t="shared" si="76"/>
        <v>0</v>
      </c>
      <c r="J36" s="23">
        <f t="shared" si="76"/>
        <v>0</v>
      </c>
      <c r="K36" s="14">
        <f t="shared" si="74"/>
        <v>0</v>
      </c>
      <c r="L36" s="14">
        <f>(L8-L10)/(2*$B$1)</f>
        <v>0</v>
      </c>
      <c r="M36" s="14">
        <f t="shared" si="74"/>
        <v>0</v>
      </c>
      <c r="N36" s="14">
        <f t="shared" si="74"/>
        <v>0</v>
      </c>
      <c r="O36" s="14">
        <f t="shared" ref="O36:S36" si="77">(O8-O10)/(2*$B$1)</f>
        <v>0</v>
      </c>
      <c r="P36" s="14">
        <f t="shared" si="77"/>
        <v>0</v>
      </c>
      <c r="Q36" s="14">
        <f t="shared" si="77"/>
        <v>0</v>
      </c>
      <c r="R36" s="14">
        <f t="shared" si="77"/>
        <v>0</v>
      </c>
      <c r="S36" s="14">
        <f t="shared" si="77"/>
        <v>0</v>
      </c>
      <c r="T36" s="24">
        <f t="shared" ref="T36" si="78">(T9-T10)/$B$1</f>
        <v>5</v>
      </c>
    </row>
    <row r="37" spans="5:37" x14ac:dyDescent="0.25">
      <c r="F37" s="4"/>
      <c r="G37" s="12"/>
      <c r="H37" s="12"/>
      <c r="I37" s="12"/>
      <c r="J37" s="12"/>
      <c r="K37" s="23">
        <f>(K9-K10)/$B$1</f>
        <v>0</v>
      </c>
      <c r="L37" s="14">
        <f>(L9-L11)/(2*$B$1)</f>
        <v>0</v>
      </c>
      <c r="M37" s="14">
        <f t="shared" si="74"/>
        <v>0</v>
      </c>
      <c r="N37" s="14">
        <f t="shared" si="74"/>
        <v>0</v>
      </c>
      <c r="O37" s="14">
        <f t="shared" ref="O37:S37" si="79">(O9-O11)/(2*$B$1)</f>
        <v>0</v>
      </c>
      <c r="P37" s="14">
        <f t="shared" si="79"/>
        <v>0</v>
      </c>
      <c r="Q37" s="14">
        <f t="shared" si="79"/>
        <v>0</v>
      </c>
      <c r="R37" s="14">
        <f t="shared" si="79"/>
        <v>0</v>
      </c>
      <c r="S37" s="14">
        <f t="shared" si="79"/>
        <v>0</v>
      </c>
      <c r="T37" s="24">
        <f t="shared" ref="T37" si="80">(T10-T11)/$B$1</f>
        <v>5</v>
      </c>
    </row>
    <row r="38" spans="5:37" x14ac:dyDescent="0.25">
      <c r="F38" s="4"/>
      <c r="G38" s="12"/>
      <c r="H38" s="12"/>
      <c r="I38" s="12"/>
      <c r="J38" s="12"/>
      <c r="K38" s="12"/>
      <c r="L38" s="23">
        <f>(L10-L11)/$B$1</f>
        <v>0</v>
      </c>
      <c r="M38" s="14">
        <f t="shared" si="74"/>
        <v>0</v>
      </c>
      <c r="N38" s="14">
        <f t="shared" ref="N38" si="81">(N10-N12)/(2*$B$1)</f>
        <v>0</v>
      </c>
      <c r="O38" s="14">
        <f t="shared" ref="O38:S38" si="82">(O10-O12)/(2*$B$1)</f>
        <v>0</v>
      </c>
      <c r="P38" s="14">
        <f t="shared" si="82"/>
        <v>0</v>
      </c>
      <c r="Q38" s="14">
        <f t="shared" si="82"/>
        <v>0</v>
      </c>
      <c r="R38" s="14">
        <f t="shared" si="82"/>
        <v>0</v>
      </c>
      <c r="S38" s="14">
        <f t="shared" si="82"/>
        <v>0</v>
      </c>
      <c r="T38" s="24">
        <f t="shared" ref="T38" si="83">(T11-T12)/$B$1</f>
        <v>5</v>
      </c>
    </row>
    <row r="39" spans="5:37" x14ac:dyDescent="0.25">
      <c r="F39" s="4"/>
      <c r="G39" s="12"/>
      <c r="H39" s="12"/>
      <c r="I39" s="12"/>
      <c r="J39" s="12"/>
      <c r="K39" s="12"/>
      <c r="L39" s="12"/>
      <c r="M39" s="23">
        <f>(M11-M12)/$B$1</f>
        <v>0</v>
      </c>
      <c r="N39" s="14">
        <f t="shared" ref="N39" si="84">(N11-N13)/(2*$B$1)</f>
        <v>0</v>
      </c>
      <c r="O39" s="14">
        <f t="shared" ref="O39:S39" si="85">(O11-O13)/(2*$B$1)</f>
        <v>0</v>
      </c>
      <c r="P39" s="14">
        <f t="shared" si="85"/>
        <v>0</v>
      </c>
      <c r="Q39" s="14">
        <f t="shared" si="85"/>
        <v>0</v>
      </c>
      <c r="R39" s="14">
        <f t="shared" si="85"/>
        <v>0</v>
      </c>
      <c r="S39" s="14">
        <f t="shared" si="85"/>
        <v>0</v>
      </c>
      <c r="T39" s="24">
        <f t="shared" ref="T39" si="86">(T12-T13)/$B$1</f>
        <v>5</v>
      </c>
    </row>
    <row r="40" spans="5:37" x14ac:dyDescent="0.25">
      <c r="F40" s="4"/>
      <c r="G40" s="12"/>
      <c r="H40" s="12"/>
      <c r="I40" s="12"/>
      <c r="J40" s="12"/>
      <c r="K40" s="12"/>
      <c r="L40" s="12"/>
      <c r="M40" s="12"/>
      <c r="N40" s="23">
        <f>(N12-N13)/$B$1</f>
        <v>0</v>
      </c>
      <c r="O40" s="14">
        <f t="shared" ref="O40:S40" si="87">(O12-O14)/(2*$B$1)</f>
        <v>0</v>
      </c>
      <c r="P40" s="14">
        <f t="shared" si="87"/>
        <v>0</v>
      </c>
      <c r="Q40" s="14">
        <f t="shared" si="87"/>
        <v>0</v>
      </c>
      <c r="R40" s="14">
        <f t="shared" si="87"/>
        <v>0</v>
      </c>
      <c r="S40" s="14">
        <f t="shared" si="87"/>
        <v>0</v>
      </c>
      <c r="T40" s="24">
        <f t="shared" ref="T40" si="88">(T13-T14)/$B$1</f>
        <v>5</v>
      </c>
    </row>
    <row r="41" spans="5:37" x14ac:dyDescent="0.25">
      <c r="O41" s="23">
        <f t="shared" ref="O41:S41" si="89">(O13-O14)/$B$1</f>
        <v>0</v>
      </c>
      <c r="P41" s="23">
        <f t="shared" si="89"/>
        <v>0</v>
      </c>
      <c r="Q41" s="23">
        <f t="shared" si="89"/>
        <v>0</v>
      </c>
      <c r="R41" s="23">
        <f t="shared" si="89"/>
        <v>0</v>
      </c>
      <c r="S41" s="23">
        <f t="shared" si="89"/>
        <v>0</v>
      </c>
      <c r="T41" s="24">
        <f>(T13-T14)/$B$1</f>
        <v>5</v>
      </c>
    </row>
    <row r="44" spans="5:37" x14ac:dyDescent="0.25">
      <c r="E44" s="25" t="s">
        <v>13</v>
      </c>
      <c r="F44" s="26">
        <f>-(G4-F4)/$B$1</f>
        <v>0</v>
      </c>
      <c r="G44" s="24">
        <f t="shared" ref="G44:S44" si="90">(H4-G4)/$B$1</f>
        <v>0</v>
      </c>
      <c r="H44" s="24">
        <f t="shared" si="90"/>
        <v>0</v>
      </c>
      <c r="I44" s="24">
        <f t="shared" si="90"/>
        <v>0</v>
      </c>
      <c r="J44" s="24">
        <f t="shared" si="90"/>
        <v>0</v>
      </c>
      <c r="K44" s="24">
        <f t="shared" si="90"/>
        <v>0</v>
      </c>
      <c r="L44" s="24">
        <f t="shared" si="90"/>
        <v>0</v>
      </c>
      <c r="M44" s="24">
        <f t="shared" si="90"/>
        <v>0</v>
      </c>
      <c r="N44" s="24">
        <f t="shared" si="90"/>
        <v>0</v>
      </c>
      <c r="O44" s="24">
        <f t="shared" si="90"/>
        <v>0</v>
      </c>
      <c r="P44" s="24">
        <f t="shared" si="90"/>
        <v>0</v>
      </c>
      <c r="Q44" s="24">
        <f t="shared" si="90"/>
        <v>0</v>
      </c>
      <c r="R44" s="24">
        <f t="shared" si="90"/>
        <v>0</v>
      </c>
      <c r="S44" s="24">
        <f t="shared" si="90"/>
        <v>0</v>
      </c>
      <c r="T44" s="23">
        <f>-(T4-S4)/$B$1</f>
        <v>0</v>
      </c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</row>
    <row r="45" spans="5:37" x14ac:dyDescent="0.25">
      <c r="F45" s="23">
        <f t="shared" ref="F45:N50" si="91">-(G5-F5)/$B$1</f>
        <v>40</v>
      </c>
      <c r="G45" s="14">
        <f>-(H5-G5)/$B$1</f>
        <v>0</v>
      </c>
      <c r="H45" s="14">
        <f t="shared" ref="H45:S45" si="92">-(I5-H5)/$B$1</f>
        <v>0</v>
      </c>
      <c r="I45" s="14">
        <f t="shared" si="92"/>
        <v>0</v>
      </c>
      <c r="J45" s="14">
        <f t="shared" si="92"/>
        <v>0</v>
      </c>
      <c r="K45" s="14">
        <f t="shared" si="92"/>
        <v>0</v>
      </c>
      <c r="L45" s="14">
        <f t="shared" si="92"/>
        <v>0</v>
      </c>
      <c r="M45" s="14">
        <f t="shared" si="92"/>
        <v>0</v>
      </c>
      <c r="N45" s="14">
        <f t="shared" si="92"/>
        <v>0</v>
      </c>
      <c r="O45" s="14">
        <f t="shared" si="92"/>
        <v>0</v>
      </c>
      <c r="P45" s="14">
        <f t="shared" si="92"/>
        <v>0</v>
      </c>
      <c r="Q45" s="14">
        <f t="shared" si="92"/>
        <v>0</v>
      </c>
      <c r="R45" s="14">
        <f t="shared" si="92"/>
        <v>0</v>
      </c>
      <c r="S45" s="14">
        <f t="shared" si="92"/>
        <v>-45</v>
      </c>
      <c r="T45" s="23">
        <f t="shared" ref="T45:T54" si="93">-(T5-S5)/$B$1</f>
        <v>-45</v>
      </c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</row>
    <row r="46" spans="5:37" x14ac:dyDescent="0.25">
      <c r="F46" s="23">
        <f t="shared" si="91"/>
        <v>30</v>
      </c>
      <c r="G46" s="14">
        <f t="shared" si="91"/>
        <v>0</v>
      </c>
      <c r="H46" s="14">
        <f t="shared" ref="H46:S46" si="94">-(I6-H6)/$B$1</f>
        <v>0</v>
      </c>
      <c r="I46" s="14">
        <f t="shared" si="94"/>
        <v>0</v>
      </c>
      <c r="J46" s="14">
        <f t="shared" si="94"/>
        <v>0</v>
      </c>
      <c r="K46" s="14">
        <f t="shared" si="94"/>
        <v>0</v>
      </c>
      <c r="L46" s="14">
        <f t="shared" si="94"/>
        <v>0</v>
      </c>
      <c r="M46" s="14">
        <f t="shared" si="94"/>
        <v>0</v>
      </c>
      <c r="N46" s="14">
        <f t="shared" si="94"/>
        <v>0</v>
      </c>
      <c r="O46" s="14">
        <f t="shared" si="94"/>
        <v>0</v>
      </c>
      <c r="P46" s="14">
        <f t="shared" si="94"/>
        <v>0</v>
      </c>
      <c r="Q46" s="14">
        <f t="shared" si="94"/>
        <v>0</v>
      </c>
      <c r="R46" s="14">
        <f t="shared" si="94"/>
        <v>0</v>
      </c>
      <c r="S46" s="14">
        <f t="shared" si="94"/>
        <v>-40</v>
      </c>
      <c r="T46" s="23">
        <f t="shared" si="93"/>
        <v>-40</v>
      </c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</row>
    <row r="47" spans="5:37" x14ac:dyDescent="0.25">
      <c r="F47" s="23">
        <f t="shared" si="91"/>
        <v>20</v>
      </c>
      <c r="G47" s="14">
        <f t="shared" si="91"/>
        <v>0</v>
      </c>
      <c r="H47" s="14">
        <f t="shared" ref="H47:S47" si="95">-(I7-H7)/$B$1</f>
        <v>0</v>
      </c>
      <c r="I47" s="14">
        <f t="shared" si="95"/>
        <v>0</v>
      </c>
      <c r="J47" s="14">
        <f t="shared" si="95"/>
        <v>0</v>
      </c>
      <c r="K47" s="14">
        <f t="shared" si="95"/>
        <v>0</v>
      </c>
      <c r="L47" s="14">
        <f t="shared" si="95"/>
        <v>0</v>
      </c>
      <c r="M47" s="14">
        <f t="shared" si="95"/>
        <v>0</v>
      </c>
      <c r="N47" s="14">
        <f t="shared" si="95"/>
        <v>0</v>
      </c>
      <c r="O47" s="14">
        <f t="shared" si="95"/>
        <v>0</v>
      </c>
      <c r="P47" s="14">
        <f t="shared" si="95"/>
        <v>0</v>
      </c>
      <c r="Q47" s="14">
        <f t="shared" si="95"/>
        <v>0</v>
      </c>
      <c r="R47" s="14">
        <f t="shared" si="95"/>
        <v>0</v>
      </c>
      <c r="S47" s="14">
        <f t="shared" si="95"/>
        <v>-35</v>
      </c>
      <c r="T47" s="23">
        <f t="shared" si="93"/>
        <v>-35</v>
      </c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</row>
    <row r="48" spans="5:37" x14ac:dyDescent="0.25">
      <c r="F48" s="23">
        <f t="shared" si="91"/>
        <v>10</v>
      </c>
      <c r="G48" s="14">
        <f t="shared" si="91"/>
        <v>0</v>
      </c>
      <c r="H48" s="14">
        <f t="shared" ref="H48:S48" si="96">-(I8-H8)/$B$1</f>
        <v>0</v>
      </c>
      <c r="I48" s="14">
        <f t="shared" si="96"/>
        <v>0</v>
      </c>
      <c r="J48" s="14">
        <f t="shared" si="96"/>
        <v>0</v>
      </c>
      <c r="K48" s="14">
        <f t="shared" si="96"/>
        <v>0</v>
      </c>
      <c r="L48" s="14">
        <f t="shared" si="96"/>
        <v>0</v>
      </c>
      <c r="M48" s="14">
        <f t="shared" si="96"/>
        <v>0</v>
      </c>
      <c r="N48" s="14">
        <f t="shared" si="96"/>
        <v>0</v>
      </c>
      <c r="O48" s="14">
        <f t="shared" si="96"/>
        <v>0</v>
      </c>
      <c r="P48" s="14">
        <f t="shared" si="96"/>
        <v>0</v>
      </c>
      <c r="Q48" s="14">
        <f t="shared" si="96"/>
        <v>0</v>
      </c>
      <c r="R48" s="14">
        <f t="shared" si="96"/>
        <v>0</v>
      </c>
      <c r="S48" s="14">
        <f t="shared" si="96"/>
        <v>-30</v>
      </c>
      <c r="T48" s="23">
        <f t="shared" si="93"/>
        <v>-30</v>
      </c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</row>
    <row r="49" spans="5:38" x14ac:dyDescent="0.25">
      <c r="F49" s="23">
        <f t="shared" si="91"/>
        <v>0</v>
      </c>
      <c r="G49" s="23">
        <f t="shared" si="91"/>
        <v>0</v>
      </c>
      <c r="H49" s="23">
        <f t="shared" si="91"/>
        <v>0</v>
      </c>
      <c r="I49" s="23">
        <f t="shared" si="91"/>
        <v>0</v>
      </c>
      <c r="J49" s="23">
        <f t="shared" si="91"/>
        <v>0</v>
      </c>
      <c r="K49" s="13">
        <f t="shared" si="91"/>
        <v>0</v>
      </c>
      <c r="L49" s="13">
        <f t="shared" si="91"/>
        <v>0</v>
      </c>
      <c r="M49" s="13">
        <f t="shared" si="91"/>
        <v>0</v>
      </c>
      <c r="N49" s="13">
        <f t="shared" si="91"/>
        <v>0</v>
      </c>
      <c r="O49" s="14">
        <f t="shared" ref="O49:S49" si="97">-(P9-O9)/$B$1</f>
        <v>0</v>
      </c>
      <c r="P49" s="14">
        <f t="shared" si="97"/>
        <v>0</v>
      </c>
      <c r="Q49" s="14">
        <f t="shared" si="97"/>
        <v>0</v>
      </c>
      <c r="R49" s="14">
        <f t="shared" si="97"/>
        <v>0</v>
      </c>
      <c r="S49" s="14">
        <f t="shared" si="97"/>
        <v>-25</v>
      </c>
      <c r="T49" s="23">
        <f t="shared" si="93"/>
        <v>-25</v>
      </c>
    </row>
    <row r="50" spans="5:38" x14ac:dyDescent="0.25">
      <c r="F50" s="4"/>
      <c r="G50" s="12"/>
      <c r="H50" s="12"/>
      <c r="I50" s="12"/>
      <c r="J50" s="12"/>
      <c r="K50" s="23">
        <f t="shared" si="91"/>
        <v>0</v>
      </c>
      <c r="L50" s="13">
        <f t="shared" ref="L50:N50" si="98">-(M10-L10)/$B$1</f>
        <v>0</v>
      </c>
      <c r="M50" s="13">
        <f t="shared" si="98"/>
        <v>0</v>
      </c>
      <c r="N50" s="13">
        <f t="shared" si="98"/>
        <v>0</v>
      </c>
      <c r="O50" s="14">
        <f t="shared" ref="O50:S50" si="99">-(P10-O10)/$B$1</f>
        <v>0</v>
      </c>
      <c r="P50" s="14">
        <f t="shared" si="99"/>
        <v>0</v>
      </c>
      <c r="Q50" s="14">
        <f t="shared" si="99"/>
        <v>0</v>
      </c>
      <c r="R50" s="14">
        <f t="shared" si="99"/>
        <v>0</v>
      </c>
      <c r="S50" s="14">
        <f t="shared" si="99"/>
        <v>-20</v>
      </c>
      <c r="T50" s="23">
        <f t="shared" si="93"/>
        <v>-20</v>
      </c>
    </row>
    <row r="51" spans="5:38" x14ac:dyDescent="0.25">
      <c r="F51" s="4"/>
      <c r="G51" s="12"/>
      <c r="H51" s="12"/>
      <c r="I51" s="12"/>
      <c r="J51" s="12"/>
      <c r="K51" s="12"/>
      <c r="L51" s="23">
        <f t="shared" ref="L51:N51" si="100">-(M11-L11)/$B$1</f>
        <v>0</v>
      </c>
      <c r="M51" s="13">
        <f t="shared" si="100"/>
        <v>0</v>
      </c>
      <c r="N51" s="13">
        <f t="shared" si="100"/>
        <v>0</v>
      </c>
      <c r="O51" s="14">
        <f t="shared" ref="O51:S51" si="101">-(P11-O11)/$B$1</f>
        <v>0</v>
      </c>
      <c r="P51" s="14">
        <f t="shared" si="101"/>
        <v>0</v>
      </c>
      <c r="Q51" s="14">
        <f t="shared" si="101"/>
        <v>0</v>
      </c>
      <c r="R51" s="14">
        <f t="shared" si="101"/>
        <v>0</v>
      </c>
      <c r="S51" s="14">
        <f t="shared" si="101"/>
        <v>-15</v>
      </c>
      <c r="T51" s="23">
        <f t="shared" si="93"/>
        <v>-15</v>
      </c>
    </row>
    <row r="52" spans="5:38" x14ac:dyDescent="0.25">
      <c r="F52" s="4"/>
      <c r="G52" s="12"/>
      <c r="H52" s="12"/>
      <c r="I52" s="12"/>
      <c r="J52" s="12"/>
      <c r="K52" s="12"/>
      <c r="L52" s="12"/>
      <c r="M52" s="23">
        <f t="shared" ref="M52:N52" si="102">-(N12-M12)/$B$1</f>
        <v>0</v>
      </c>
      <c r="N52" s="13">
        <f t="shared" si="102"/>
        <v>0</v>
      </c>
      <c r="O52" s="14">
        <f t="shared" ref="O52:S52" si="103">-(P12-O12)/$B$1</f>
        <v>0</v>
      </c>
      <c r="P52" s="14">
        <f t="shared" si="103"/>
        <v>0</v>
      </c>
      <c r="Q52" s="14">
        <f t="shared" si="103"/>
        <v>0</v>
      </c>
      <c r="R52" s="14">
        <f t="shared" si="103"/>
        <v>0</v>
      </c>
      <c r="S52" s="14">
        <f t="shared" si="103"/>
        <v>-10</v>
      </c>
      <c r="T52" s="23">
        <f t="shared" si="93"/>
        <v>-10</v>
      </c>
    </row>
    <row r="53" spans="5:38" x14ac:dyDescent="0.25">
      <c r="F53" s="4"/>
      <c r="G53" s="12"/>
      <c r="H53" s="12"/>
      <c r="I53" s="12"/>
      <c r="J53" s="12"/>
      <c r="K53" s="12"/>
      <c r="L53" s="12"/>
      <c r="M53" s="12"/>
      <c r="N53" s="23">
        <f t="shared" ref="N53" si="104">-(O13-N13)/$B$1</f>
        <v>0</v>
      </c>
      <c r="O53" s="14">
        <f t="shared" ref="O53:S53" si="105">-(P13-O13)/$B$1</f>
        <v>0</v>
      </c>
      <c r="P53" s="14">
        <f t="shared" si="105"/>
        <v>0</v>
      </c>
      <c r="Q53" s="14">
        <f t="shared" si="105"/>
        <v>0</v>
      </c>
      <c r="R53" s="14">
        <f t="shared" si="105"/>
        <v>0</v>
      </c>
      <c r="S53" s="14">
        <f t="shared" si="105"/>
        <v>-5</v>
      </c>
      <c r="T53" s="23">
        <f t="shared" si="93"/>
        <v>-5</v>
      </c>
    </row>
    <row r="54" spans="5:38" x14ac:dyDescent="0.25">
      <c r="K54" s="2"/>
      <c r="L54" s="2"/>
      <c r="M54" s="2"/>
      <c r="N54" s="2"/>
      <c r="O54" s="24">
        <f t="shared" ref="O54:S54" si="106">(P14-O14)/$B$1</f>
        <v>0</v>
      </c>
      <c r="P54" s="24">
        <f t="shared" si="106"/>
        <v>0</v>
      </c>
      <c r="Q54" s="24">
        <f t="shared" si="106"/>
        <v>0</v>
      </c>
      <c r="R54" s="24">
        <f t="shared" si="106"/>
        <v>0</v>
      </c>
      <c r="S54" s="24">
        <f t="shared" si="106"/>
        <v>0</v>
      </c>
      <c r="T54" s="23">
        <f t="shared" si="93"/>
        <v>0</v>
      </c>
    </row>
    <row r="55" spans="5:38" x14ac:dyDescent="0.25">
      <c r="W55" s="23" t="s">
        <v>21</v>
      </c>
      <c r="X55" s="27">
        <v>1</v>
      </c>
      <c r="Y55" s="27">
        <v>2</v>
      </c>
      <c r="Z55" s="27">
        <v>3</v>
      </c>
      <c r="AA55" s="27">
        <v>4</v>
      </c>
      <c r="AB55" s="27">
        <v>5</v>
      </c>
      <c r="AC55" s="27">
        <v>6</v>
      </c>
      <c r="AD55" s="27">
        <v>7</v>
      </c>
      <c r="AE55" s="27">
        <v>8</v>
      </c>
      <c r="AF55" s="27">
        <v>9</v>
      </c>
      <c r="AG55" s="27">
        <v>10</v>
      </c>
      <c r="AH55" s="27">
        <v>11</v>
      </c>
      <c r="AI55" s="27">
        <v>12</v>
      </c>
      <c r="AJ55" s="27">
        <v>13</v>
      </c>
      <c r="AK55" s="27">
        <v>14</v>
      </c>
      <c r="AL55" s="27">
        <v>15</v>
      </c>
    </row>
    <row r="56" spans="5:38" x14ac:dyDescent="0.25">
      <c r="F56" s="13"/>
      <c r="G56" s="13"/>
      <c r="H56" s="13"/>
      <c r="I56" s="13"/>
      <c r="J56" s="13"/>
      <c r="K56" s="13"/>
      <c r="L56" s="13"/>
      <c r="M56" s="13"/>
      <c r="N56" s="13"/>
      <c r="O56" s="13"/>
      <c r="P56" s="13"/>
      <c r="Q56" s="13"/>
      <c r="R56" s="13"/>
      <c r="S56" s="13"/>
      <c r="T56" s="13"/>
      <c r="W56" s="23">
        <v>10</v>
      </c>
      <c r="X56" s="17">
        <v>2</v>
      </c>
      <c r="Y56" s="17">
        <v>2</v>
      </c>
      <c r="Z56" s="17">
        <v>2</v>
      </c>
      <c r="AA56" s="17">
        <v>2</v>
      </c>
      <c r="AB56" s="17">
        <v>2</v>
      </c>
      <c r="AC56" s="17">
        <v>2</v>
      </c>
      <c r="AD56" s="17">
        <v>2</v>
      </c>
      <c r="AE56" s="17">
        <v>2</v>
      </c>
      <c r="AF56" s="17">
        <v>2</v>
      </c>
      <c r="AG56" s="17">
        <v>2</v>
      </c>
      <c r="AH56" s="17">
        <v>2</v>
      </c>
      <c r="AI56" s="17">
        <v>2</v>
      </c>
      <c r="AJ56" s="17">
        <v>2</v>
      </c>
      <c r="AK56" s="17">
        <v>2</v>
      </c>
      <c r="AL56" s="17">
        <v>2</v>
      </c>
    </row>
    <row r="57" spans="5:38" x14ac:dyDescent="0.25">
      <c r="E57" s="25" t="s">
        <v>19</v>
      </c>
      <c r="F57" s="26">
        <f>(F44^2+F31^2)^0.5</f>
        <v>10</v>
      </c>
      <c r="G57" s="23">
        <f t="shared" ref="G57:T57" si="107">(G44^2+G31^2)^0.5</f>
        <v>50</v>
      </c>
      <c r="H57" s="23">
        <f t="shared" si="107"/>
        <v>50</v>
      </c>
      <c r="I57" s="23">
        <f t="shared" si="107"/>
        <v>50</v>
      </c>
      <c r="J57" s="23">
        <f t="shared" si="107"/>
        <v>50</v>
      </c>
      <c r="K57" s="23">
        <f t="shared" si="107"/>
        <v>50</v>
      </c>
      <c r="L57" s="23">
        <f t="shared" si="107"/>
        <v>50</v>
      </c>
      <c r="M57" s="23">
        <f t="shared" si="107"/>
        <v>50</v>
      </c>
      <c r="N57" s="23">
        <f t="shared" si="107"/>
        <v>50</v>
      </c>
      <c r="O57" s="23">
        <f t="shared" si="107"/>
        <v>50</v>
      </c>
      <c r="P57" s="23">
        <f t="shared" si="107"/>
        <v>50</v>
      </c>
      <c r="Q57" s="23">
        <f t="shared" si="107"/>
        <v>50</v>
      </c>
      <c r="R57" s="23">
        <f t="shared" si="107"/>
        <v>50</v>
      </c>
      <c r="S57" s="23">
        <f t="shared" si="107"/>
        <v>50</v>
      </c>
      <c r="T57" s="23">
        <f t="shared" si="107"/>
        <v>5</v>
      </c>
      <c r="W57" s="23">
        <v>9.5</v>
      </c>
      <c r="X57" s="17" t="e">
        <f>($E$4-$E$5)*(9.5-F19)/(F18-F19)+$E$5</f>
        <v>#DIV/0!</v>
      </c>
      <c r="Y57" s="17" t="e">
        <f t="shared" ref="Y57:AL57" si="108">($E$4-$E$5)*(9.5-G19)/(G18-G19)+$E$5</f>
        <v>#DIV/0!</v>
      </c>
      <c r="Z57" s="17" t="e">
        <f t="shared" si="108"/>
        <v>#DIV/0!</v>
      </c>
      <c r="AA57" s="17" t="e">
        <f t="shared" si="108"/>
        <v>#DIV/0!</v>
      </c>
      <c r="AB57" s="17" t="e">
        <f t="shared" si="108"/>
        <v>#DIV/0!</v>
      </c>
      <c r="AC57" s="17" t="e">
        <f t="shared" si="108"/>
        <v>#DIV/0!</v>
      </c>
      <c r="AD57" s="17" t="e">
        <f t="shared" si="108"/>
        <v>#DIV/0!</v>
      </c>
      <c r="AE57" s="17" t="e">
        <f t="shared" si="108"/>
        <v>#DIV/0!</v>
      </c>
      <c r="AF57" s="17" t="e">
        <f t="shared" si="108"/>
        <v>#DIV/0!</v>
      </c>
      <c r="AG57" s="17" t="e">
        <f t="shared" si="108"/>
        <v>#DIV/0!</v>
      </c>
      <c r="AH57" s="17" t="e">
        <f t="shared" si="108"/>
        <v>#DIV/0!</v>
      </c>
      <c r="AI57" s="17" t="e">
        <f t="shared" si="108"/>
        <v>#DIV/0!</v>
      </c>
      <c r="AJ57" s="17" t="e">
        <f t="shared" si="108"/>
        <v>#DIV/0!</v>
      </c>
      <c r="AK57" s="17" t="e">
        <f t="shared" si="108"/>
        <v>#DIV/0!</v>
      </c>
      <c r="AL57" s="17" t="e">
        <f t="shared" si="108"/>
        <v>#DIV/0!</v>
      </c>
    </row>
    <row r="58" spans="5:38" x14ac:dyDescent="0.25">
      <c r="F58" s="23">
        <f t="shared" ref="F58:T63" si="109">(F45^2+F32^2)^0.5</f>
        <v>41.231056256176608</v>
      </c>
      <c r="G58" s="13">
        <f t="shared" si="109"/>
        <v>25</v>
      </c>
      <c r="H58" s="13">
        <f t="shared" si="109"/>
        <v>25</v>
      </c>
      <c r="I58" s="13">
        <f t="shared" si="109"/>
        <v>25</v>
      </c>
      <c r="J58" s="13">
        <f t="shared" si="109"/>
        <v>25</v>
      </c>
      <c r="K58" s="13">
        <f t="shared" si="109"/>
        <v>25</v>
      </c>
      <c r="L58" s="13">
        <f t="shared" si="109"/>
        <v>25</v>
      </c>
      <c r="M58" s="13">
        <f t="shared" si="109"/>
        <v>25</v>
      </c>
      <c r="N58" s="13">
        <f t="shared" si="109"/>
        <v>25</v>
      </c>
      <c r="O58" s="13">
        <f t="shared" si="109"/>
        <v>25</v>
      </c>
      <c r="P58" s="13">
        <f t="shared" si="109"/>
        <v>25</v>
      </c>
      <c r="Q58" s="13">
        <f t="shared" si="109"/>
        <v>25</v>
      </c>
      <c r="R58" s="13">
        <f t="shared" si="109"/>
        <v>25</v>
      </c>
      <c r="S58" s="13">
        <f t="shared" si="109"/>
        <v>51.478150704935004</v>
      </c>
      <c r="T58" s="23">
        <f t="shared" si="109"/>
        <v>45.276925690687087</v>
      </c>
      <c r="W58" s="23">
        <v>7.5</v>
      </c>
      <c r="X58" s="17" t="e">
        <f>($E$5-$E$6)*(7.5-F20)/(F19-F20)+$E$6</f>
        <v>#DIV/0!</v>
      </c>
      <c r="Y58" s="17" t="e">
        <f t="shared" ref="Y58:AG58" si="110">($E$5-$E$6)*(7.5-G20)/(G19-G20)+$E$6</f>
        <v>#DIV/0!</v>
      </c>
      <c r="Z58" s="17" t="e">
        <f t="shared" si="110"/>
        <v>#DIV/0!</v>
      </c>
      <c r="AA58" s="17" t="e">
        <f t="shared" si="110"/>
        <v>#DIV/0!</v>
      </c>
      <c r="AB58" s="17" t="e">
        <f t="shared" si="110"/>
        <v>#DIV/0!</v>
      </c>
      <c r="AC58" s="17" t="e">
        <f t="shared" si="110"/>
        <v>#DIV/0!</v>
      </c>
      <c r="AD58" s="17" t="e">
        <f t="shared" si="110"/>
        <v>#DIV/0!</v>
      </c>
      <c r="AE58" s="17" t="e">
        <f t="shared" si="110"/>
        <v>#DIV/0!</v>
      </c>
      <c r="AF58" s="17" t="e">
        <f t="shared" si="110"/>
        <v>#DIV/0!</v>
      </c>
      <c r="AG58" s="17" t="e">
        <f t="shared" si="110"/>
        <v>#DIV/0!</v>
      </c>
      <c r="AH58" s="17" t="e">
        <f>($E$6-$E$7)*(7.5-P21)/(P20-P21)+$E$7</f>
        <v>#DIV/0!</v>
      </c>
      <c r="AI58" s="17" t="e">
        <f t="shared" ref="AI58:AL58" si="111">($E$6-$E$7)*(7.5-Q21)/(Q20-Q21)+$E$7</f>
        <v>#DIV/0!</v>
      </c>
      <c r="AJ58" s="17" t="e">
        <f t="shared" si="111"/>
        <v>#DIV/0!</v>
      </c>
      <c r="AK58" s="17" t="e">
        <f t="shared" si="111"/>
        <v>#DIV/0!</v>
      </c>
      <c r="AL58" s="17" t="e">
        <f t="shared" si="111"/>
        <v>#DIV/0!</v>
      </c>
    </row>
    <row r="59" spans="5:38" x14ac:dyDescent="0.25">
      <c r="F59" s="23">
        <f t="shared" si="109"/>
        <v>31.622776601683793</v>
      </c>
      <c r="G59" s="13">
        <f t="shared" si="109"/>
        <v>0</v>
      </c>
      <c r="H59" s="13">
        <f t="shared" si="109"/>
        <v>0</v>
      </c>
      <c r="I59" s="13">
        <f t="shared" si="109"/>
        <v>0</v>
      </c>
      <c r="J59" s="13">
        <f t="shared" si="109"/>
        <v>0</v>
      </c>
      <c r="K59" s="13">
        <f t="shared" si="109"/>
        <v>0</v>
      </c>
      <c r="L59" s="13">
        <f t="shared" si="109"/>
        <v>0</v>
      </c>
      <c r="M59" s="13">
        <f t="shared" si="109"/>
        <v>0</v>
      </c>
      <c r="N59" s="13">
        <f t="shared" si="109"/>
        <v>0</v>
      </c>
      <c r="O59" s="13">
        <f t="shared" si="109"/>
        <v>0</v>
      </c>
      <c r="P59" s="13">
        <f t="shared" si="109"/>
        <v>0</v>
      </c>
      <c r="Q59" s="13">
        <f t="shared" si="109"/>
        <v>0</v>
      </c>
      <c r="R59" s="13">
        <f t="shared" si="109"/>
        <v>0</v>
      </c>
      <c r="S59" s="13">
        <f t="shared" si="109"/>
        <v>40</v>
      </c>
      <c r="T59" s="23">
        <f t="shared" si="109"/>
        <v>40.311288741492746</v>
      </c>
      <c r="W59" s="23">
        <v>5</v>
      </c>
      <c r="X59" s="17" t="e">
        <f>($E$6-$E$7)*(5-F21)/(F20-F21)+$E$7</f>
        <v>#DIV/0!</v>
      </c>
      <c r="Y59" s="17" t="e">
        <f t="shared" ref="Y59:AC59" si="112">($E$6-$E$7)*(5-G21)/(G20-G21)+$E$7</f>
        <v>#DIV/0!</v>
      </c>
      <c r="Z59" s="17" t="e">
        <f t="shared" si="112"/>
        <v>#DIV/0!</v>
      </c>
      <c r="AA59" s="17" t="e">
        <f t="shared" si="112"/>
        <v>#DIV/0!</v>
      </c>
      <c r="AB59" s="17" t="e">
        <f t="shared" si="112"/>
        <v>#DIV/0!</v>
      </c>
      <c r="AC59" s="17" t="e">
        <f t="shared" si="112"/>
        <v>#DIV/0!</v>
      </c>
      <c r="AD59" s="17" t="e">
        <f>($E$7-$E$8)*(5-L22)/(L21-L22)+$E$8</f>
        <v>#DIV/0!</v>
      </c>
      <c r="AE59" s="17" t="e">
        <f t="shared" ref="AE59:AG59" si="113">($E$7-$E$8)*(5-M22)/(M21-M22)+$E$8</f>
        <v>#DIV/0!</v>
      </c>
      <c r="AF59" s="17" t="e">
        <f t="shared" si="113"/>
        <v>#DIV/0!</v>
      </c>
      <c r="AG59" s="17" t="e">
        <f t="shared" si="113"/>
        <v>#DIV/0!</v>
      </c>
      <c r="AH59" s="17" t="e">
        <f>($E$8-$E$9)*(5-P23)/(P22-P23)+$E$9</f>
        <v>#DIV/0!</v>
      </c>
      <c r="AI59" s="17" t="e">
        <f t="shared" ref="AI59:AL59" si="114">($E$8-$E$9)*(5-Q23)/(Q22-Q23)+$E$9</f>
        <v>#DIV/0!</v>
      </c>
      <c r="AJ59" s="17" t="e">
        <f t="shared" si="114"/>
        <v>#DIV/0!</v>
      </c>
      <c r="AK59" s="17" t="e">
        <f t="shared" si="114"/>
        <v>#DIV/0!</v>
      </c>
      <c r="AL59" s="17" t="e">
        <f t="shared" si="114"/>
        <v>#DIV/0!</v>
      </c>
    </row>
    <row r="60" spans="5:38" x14ac:dyDescent="0.25">
      <c r="F60" s="23">
        <f t="shared" si="109"/>
        <v>22.360679774997898</v>
      </c>
      <c r="G60" s="13">
        <f t="shared" si="109"/>
        <v>0</v>
      </c>
      <c r="H60" s="13">
        <f t="shared" si="109"/>
        <v>0</v>
      </c>
      <c r="I60" s="13">
        <f t="shared" si="109"/>
        <v>0</v>
      </c>
      <c r="J60" s="13">
        <f t="shared" si="109"/>
        <v>0</v>
      </c>
      <c r="K60" s="13">
        <f t="shared" si="109"/>
        <v>0</v>
      </c>
      <c r="L60" s="13">
        <f t="shared" si="109"/>
        <v>0</v>
      </c>
      <c r="M60" s="13">
        <f t="shared" si="109"/>
        <v>0</v>
      </c>
      <c r="N60" s="13">
        <f t="shared" si="109"/>
        <v>0</v>
      </c>
      <c r="O60" s="13">
        <f t="shared" si="109"/>
        <v>0</v>
      </c>
      <c r="P60" s="13">
        <f t="shared" si="109"/>
        <v>0</v>
      </c>
      <c r="Q60" s="13">
        <f t="shared" si="109"/>
        <v>0</v>
      </c>
      <c r="R60" s="13">
        <f t="shared" si="109"/>
        <v>0</v>
      </c>
      <c r="S60" s="13">
        <f t="shared" si="109"/>
        <v>35</v>
      </c>
      <c r="T60" s="23">
        <f t="shared" si="109"/>
        <v>35.355339059327378</v>
      </c>
      <c r="W60" s="23">
        <v>2.5</v>
      </c>
      <c r="X60" s="17" t="e">
        <f>($E$7-$E$8)*(2.5-F22)/(F21-F22)+$E$8</f>
        <v>#DIV/0!</v>
      </c>
      <c r="Y60" s="17" t="e">
        <f t="shared" ref="Y60:AB60" si="115">($E$7-$E$8)*(2.5-G22)/(G21-G22)+$E$8</f>
        <v>#DIV/0!</v>
      </c>
      <c r="Z60" s="17" t="e">
        <f t="shared" si="115"/>
        <v>#DIV/0!</v>
      </c>
      <c r="AA60" s="17" t="e">
        <f t="shared" si="115"/>
        <v>#DIV/0!</v>
      </c>
      <c r="AB60" s="17" t="e">
        <f t="shared" si="115"/>
        <v>#DIV/0!</v>
      </c>
      <c r="AC60" s="17" t="e">
        <f>($E$8-$E$9)*(2.5-K23)/(K22-K23)+$E$9</f>
        <v>#DIV/0!</v>
      </c>
      <c r="AD60" s="17" t="e">
        <f>($E$8-$E$9)*(2.5-L23)/(L22-L23)+$E$9</f>
        <v>#DIV/0!</v>
      </c>
      <c r="AE60" s="17" t="e">
        <f>($E$9-$E$10)*(2.5-M24)/(M23-M24)+$E$10</f>
        <v>#DIV/0!</v>
      </c>
      <c r="AF60" s="17" t="e">
        <f>($E$9-$E$10)*(2.5-N24)/(N23-N24)+$E$10</f>
        <v>#DIV/0!</v>
      </c>
      <c r="AG60" s="17" t="e">
        <f>($E$10-$E$11)*(2.5-O25)/(O24-O25)+$E$11</f>
        <v>#DIV/0!</v>
      </c>
      <c r="AH60" s="17" t="e">
        <f t="shared" ref="AH60:AI60" si="116">($E$10-$E$11)*(2.5-P25)/(P24-P25)+$E$11</f>
        <v>#DIV/0!</v>
      </c>
      <c r="AI60" s="17" t="e">
        <f t="shared" si="116"/>
        <v>#DIV/0!</v>
      </c>
      <c r="AJ60" s="17" t="e">
        <f>($E$11-$E$12)*(2.5-R26)/(R25-R26)+$E$12</f>
        <v>#DIV/0!</v>
      </c>
      <c r="AK60" s="17" t="e">
        <f t="shared" ref="AK60:AL60" si="117">($E$11-$E$12)*(2.5-S26)/(S25-S26)+$E$12</f>
        <v>#DIV/0!</v>
      </c>
      <c r="AL60" s="17" t="e">
        <f t="shared" si="117"/>
        <v>#DIV/0!</v>
      </c>
    </row>
    <row r="61" spans="5:38" x14ac:dyDescent="0.25">
      <c r="F61" s="23">
        <f t="shared" si="109"/>
        <v>14.142135623730951</v>
      </c>
      <c r="G61" s="13">
        <f t="shared" si="109"/>
        <v>0</v>
      </c>
      <c r="H61" s="13">
        <f t="shared" si="109"/>
        <v>0</v>
      </c>
      <c r="I61" s="13">
        <f t="shared" si="109"/>
        <v>0</v>
      </c>
      <c r="J61" s="13">
        <f t="shared" si="109"/>
        <v>0</v>
      </c>
      <c r="K61" s="13">
        <f t="shared" si="109"/>
        <v>0</v>
      </c>
      <c r="L61" s="13">
        <f t="shared" si="109"/>
        <v>0</v>
      </c>
      <c r="M61" s="13">
        <f t="shared" si="109"/>
        <v>0</v>
      </c>
      <c r="N61" s="13">
        <f t="shared" si="109"/>
        <v>0</v>
      </c>
      <c r="O61" s="13">
        <f t="shared" si="109"/>
        <v>0</v>
      </c>
      <c r="P61" s="13">
        <f t="shared" si="109"/>
        <v>0</v>
      </c>
      <c r="Q61" s="13">
        <f t="shared" si="109"/>
        <v>0</v>
      </c>
      <c r="R61" s="13">
        <f t="shared" si="109"/>
        <v>0</v>
      </c>
      <c r="S61" s="13">
        <f t="shared" si="109"/>
        <v>30</v>
      </c>
      <c r="T61" s="23">
        <f t="shared" si="109"/>
        <v>30.413812651491099</v>
      </c>
      <c r="W61" s="23">
        <v>0.5</v>
      </c>
      <c r="X61" s="17" t="e">
        <f>($E$8-$E$9)*($W$61-F23)/(F22-F23)+$E$9</f>
        <v>#DIV/0!</v>
      </c>
      <c r="Y61" s="17" t="e">
        <f t="shared" ref="Y61:AB61" si="118">($E$8-$E$9)*($W$61-G23)/(G22-G23)+$E$9</f>
        <v>#DIV/0!</v>
      </c>
      <c r="Z61" s="17" t="e">
        <f t="shared" si="118"/>
        <v>#DIV/0!</v>
      </c>
      <c r="AA61" s="17" t="e">
        <f t="shared" si="118"/>
        <v>#DIV/0!</v>
      </c>
      <c r="AB61" s="17" t="e">
        <f t="shared" si="118"/>
        <v>#DIV/0!</v>
      </c>
      <c r="AC61" s="17" t="e">
        <f>($E$9-$E$10)*($W$61-K24)/(K23-K24)+$E$10</f>
        <v>#DIV/0!</v>
      </c>
      <c r="AD61" s="17" t="e">
        <f>($E$10-$E$11)*($W$61-L25)/(L24-L25)+$E$11</f>
        <v>#DIV/0!</v>
      </c>
      <c r="AE61" s="17" t="e">
        <f>($E$11-$E$12)*($W$61-M26)/(M25-M26)+$E$12</f>
        <v>#DIV/0!</v>
      </c>
      <c r="AF61" s="17" t="e">
        <f>($E$12-$E$13)*($W$61-N27)/(N26-N27)+$E$13</f>
        <v>#DIV/0!</v>
      </c>
      <c r="AG61" s="17" t="e">
        <f t="shared" ref="AG61" si="119">($E$12-$E$13)*($W$61-O27)/(O26-O27)+$E$13</f>
        <v>#DIV/0!</v>
      </c>
      <c r="AH61" s="17" t="e">
        <f>($E$13-$E$14)*($W$61-P28)/(P27-P28)+$E$14</f>
        <v>#DIV/0!</v>
      </c>
      <c r="AI61" s="17" t="e">
        <f t="shared" ref="AI61:AL61" si="120">($E$13-$E$14)*($W$61-Q28)/(Q27-Q28)+$E$14</f>
        <v>#DIV/0!</v>
      </c>
      <c r="AJ61" s="17" t="e">
        <f t="shared" si="120"/>
        <v>#DIV/0!</v>
      </c>
      <c r="AK61" s="17" t="e">
        <f t="shared" si="120"/>
        <v>#DIV/0!</v>
      </c>
      <c r="AL61" s="17" t="e">
        <f t="shared" si="120"/>
        <v>#DIV/0!</v>
      </c>
    </row>
    <row r="62" spans="5:38" x14ac:dyDescent="0.25">
      <c r="F62" s="23">
        <f t="shared" si="109"/>
        <v>10</v>
      </c>
      <c r="G62" s="23">
        <f t="shared" si="109"/>
        <v>0</v>
      </c>
      <c r="H62" s="23">
        <f t="shared" si="109"/>
        <v>0</v>
      </c>
      <c r="I62" s="23">
        <f t="shared" si="109"/>
        <v>0</v>
      </c>
      <c r="J62" s="23">
        <f t="shared" si="109"/>
        <v>0</v>
      </c>
      <c r="K62" s="13">
        <f t="shared" si="109"/>
        <v>0</v>
      </c>
      <c r="L62" s="13">
        <f t="shared" si="109"/>
        <v>0</v>
      </c>
      <c r="M62" s="13">
        <f t="shared" si="109"/>
        <v>0</v>
      </c>
      <c r="N62" s="13">
        <f t="shared" si="109"/>
        <v>0</v>
      </c>
      <c r="O62" s="13">
        <f t="shared" si="109"/>
        <v>0</v>
      </c>
      <c r="P62" s="13">
        <f t="shared" si="109"/>
        <v>0</v>
      </c>
      <c r="Q62" s="13">
        <f t="shared" si="109"/>
        <v>0</v>
      </c>
      <c r="R62" s="13">
        <f t="shared" si="109"/>
        <v>0</v>
      </c>
      <c r="S62" s="13">
        <f t="shared" si="109"/>
        <v>25</v>
      </c>
      <c r="T62" s="23">
        <f t="shared" ref="T62" si="121">(T49^2+T36^2)^0.5</f>
        <v>25.495097567963924</v>
      </c>
      <c r="W62" s="23">
        <v>0</v>
      </c>
      <c r="X62" s="17">
        <v>1</v>
      </c>
      <c r="Y62" s="17">
        <v>1</v>
      </c>
      <c r="Z62" s="17">
        <v>1</v>
      </c>
      <c r="AA62" s="17">
        <v>1</v>
      </c>
      <c r="AB62" s="17">
        <v>1</v>
      </c>
      <c r="AC62" s="17">
        <v>0.8</v>
      </c>
      <c r="AD62" s="17">
        <v>0.6</v>
      </c>
      <c r="AE62" s="17">
        <v>0.4</v>
      </c>
      <c r="AF62" s="17">
        <v>0.2</v>
      </c>
      <c r="AG62" s="17">
        <v>0</v>
      </c>
      <c r="AH62" s="17">
        <v>0</v>
      </c>
      <c r="AI62" s="17">
        <v>0</v>
      </c>
      <c r="AJ62" s="17">
        <v>0</v>
      </c>
      <c r="AK62" s="17">
        <v>0</v>
      </c>
      <c r="AL62" s="17">
        <v>0</v>
      </c>
    </row>
    <row r="63" spans="5:38" x14ac:dyDescent="0.25">
      <c r="F63" s="14"/>
      <c r="G63" s="14"/>
      <c r="H63" s="14"/>
      <c r="I63" s="14"/>
      <c r="J63" s="14"/>
      <c r="K63" s="23">
        <f t="shared" si="109"/>
        <v>0</v>
      </c>
      <c r="L63" s="13">
        <f t="shared" ref="L63:N63" si="122">(L50^2+L37^2)^0.5</f>
        <v>0</v>
      </c>
      <c r="M63" s="13">
        <f t="shared" si="122"/>
        <v>0</v>
      </c>
      <c r="N63" s="13">
        <f t="shared" si="122"/>
        <v>0</v>
      </c>
      <c r="O63" s="13">
        <f t="shared" ref="O63:T63" si="123">(O50^2+O37^2)^0.5</f>
        <v>0</v>
      </c>
      <c r="P63" s="13">
        <f t="shared" si="123"/>
        <v>0</v>
      </c>
      <c r="Q63" s="13">
        <f t="shared" si="123"/>
        <v>0</v>
      </c>
      <c r="R63" s="13">
        <f t="shared" si="123"/>
        <v>0</v>
      </c>
      <c r="S63" s="13">
        <f t="shared" si="123"/>
        <v>20</v>
      </c>
      <c r="T63" s="23">
        <f t="shared" si="123"/>
        <v>20.615528128088304</v>
      </c>
      <c r="W63" s="27" t="s">
        <v>20</v>
      </c>
      <c r="X63" s="27">
        <v>0</v>
      </c>
      <c r="Y63" s="27">
        <v>0.2</v>
      </c>
      <c r="Z63" s="27">
        <v>0.4</v>
      </c>
      <c r="AA63" s="27">
        <v>0.6</v>
      </c>
      <c r="AB63" s="27">
        <v>0.8</v>
      </c>
      <c r="AC63" s="27">
        <v>1</v>
      </c>
      <c r="AD63" s="27">
        <v>1.2</v>
      </c>
      <c r="AE63" s="27">
        <v>1.4</v>
      </c>
      <c r="AF63" s="27">
        <v>1.6</v>
      </c>
      <c r="AG63" s="27">
        <v>1.8</v>
      </c>
      <c r="AH63" s="27">
        <v>2</v>
      </c>
      <c r="AI63" s="27">
        <v>2.2000000000000002</v>
      </c>
      <c r="AJ63" s="27">
        <v>2.4</v>
      </c>
      <c r="AK63" s="27">
        <v>2.6</v>
      </c>
      <c r="AL63" s="27">
        <v>2.8</v>
      </c>
    </row>
    <row r="64" spans="5:38" x14ac:dyDescent="0.25">
      <c r="F64" s="14"/>
      <c r="G64" s="14"/>
      <c r="H64" s="14"/>
      <c r="I64" s="14"/>
      <c r="J64" s="14"/>
      <c r="K64" s="14"/>
      <c r="L64" s="23">
        <f t="shared" ref="L64:N66" si="124">(L51^2+L38^2)^0.5</f>
        <v>0</v>
      </c>
      <c r="M64" s="13">
        <f t="shared" si="124"/>
        <v>0</v>
      </c>
      <c r="N64" s="13">
        <f t="shared" si="124"/>
        <v>0</v>
      </c>
      <c r="O64" s="13">
        <f t="shared" ref="O64:T64" si="125">(O51^2+O38^2)^0.5</f>
        <v>0</v>
      </c>
      <c r="P64" s="13">
        <f t="shared" si="125"/>
        <v>0</v>
      </c>
      <c r="Q64" s="13">
        <f t="shared" si="125"/>
        <v>0</v>
      </c>
      <c r="R64" s="13">
        <f t="shared" si="125"/>
        <v>0</v>
      </c>
      <c r="S64" s="13">
        <f t="shared" si="125"/>
        <v>15</v>
      </c>
      <c r="T64" s="23">
        <f t="shared" si="125"/>
        <v>15.811388300841896</v>
      </c>
    </row>
    <row r="65" spans="6:20" x14ac:dyDescent="0.25">
      <c r="F65" s="14"/>
      <c r="G65" s="14"/>
      <c r="H65" s="14"/>
      <c r="I65" s="14"/>
      <c r="J65" s="14"/>
      <c r="K65" s="14"/>
      <c r="L65" s="14"/>
      <c r="M65" s="23">
        <f t="shared" si="124"/>
        <v>0</v>
      </c>
      <c r="N65" s="13">
        <f t="shared" si="124"/>
        <v>0</v>
      </c>
      <c r="O65" s="13">
        <f t="shared" ref="O65:T65" si="126">(O52^2+O39^2)^0.5</f>
        <v>0</v>
      </c>
      <c r="P65" s="13">
        <f t="shared" si="126"/>
        <v>0</v>
      </c>
      <c r="Q65" s="13">
        <f t="shared" si="126"/>
        <v>0</v>
      </c>
      <c r="R65" s="13">
        <f t="shared" si="126"/>
        <v>0</v>
      </c>
      <c r="S65" s="13">
        <f t="shared" si="126"/>
        <v>10</v>
      </c>
      <c r="T65" s="23">
        <f t="shared" si="126"/>
        <v>11.180339887498949</v>
      </c>
    </row>
    <row r="66" spans="6:20" x14ac:dyDescent="0.25">
      <c r="F66" s="14"/>
      <c r="G66" s="14"/>
      <c r="H66" s="14"/>
      <c r="I66" s="14"/>
      <c r="J66" s="14"/>
      <c r="K66" s="14"/>
      <c r="L66" s="14"/>
      <c r="M66" s="14"/>
      <c r="N66" s="23">
        <f t="shared" si="124"/>
        <v>0</v>
      </c>
      <c r="O66" s="13">
        <f t="shared" ref="O66:T67" si="127">(O53^2+O40^2)^0.5</f>
        <v>0</v>
      </c>
      <c r="P66" s="13">
        <f t="shared" si="127"/>
        <v>0</v>
      </c>
      <c r="Q66" s="13">
        <f t="shared" si="127"/>
        <v>0</v>
      </c>
      <c r="R66" s="13">
        <f t="shared" si="127"/>
        <v>0</v>
      </c>
      <c r="S66" s="13">
        <f t="shared" si="127"/>
        <v>5</v>
      </c>
      <c r="T66" s="23">
        <f t="shared" si="127"/>
        <v>7.0710678118654755</v>
      </c>
    </row>
    <row r="67" spans="6:20" x14ac:dyDescent="0.25">
      <c r="F67" s="13"/>
      <c r="G67" s="13"/>
      <c r="H67" s="13"/>
      <c r="I67" s="13"/>
      <c r="J67" s="13"/>
      <c r="K67" s="13"/>
      <c r="L67" s="13"/>
      <c r="M67" s="13"/>
      <c r="N67" s="13"/>
      <c r="O67" s="23">
        <f t="shared" si="127"/>
        <v>0</v>
      </c>
      <c r="P67" s="23">
        <f t="shared" si="127"/>
        <v>0</v>
      </c>
      <c r="Q67" s="23">
        <f t="shared" si="127"/>
        <v>0</v>
      </c>
      <c r="R67" s="23">
        <f t="shared" si="127"/>
        <v>0</v>
      </c>
      <c r="S67" s="23">
        <f t="shared" si="127"/>
        <v>0</v>
      </c>
      <c r="T67" s="23">
        <f t="shared" ref="T67" si="128">(T54^2+T41^2)^0.5</f>
        <v>5</v>
      </c>
    </row>
  </sheetData>
  <conditionalFormatting sqref="F18:T28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go">
                <anchor moveWithCells="1">
                  <from>
                    <xdr:col>0</xdr:col>
                    <xdr:colOff>390525</xdr:colOff>
                    <xdr:row>16</xdr:row>
                    <xdr:rowOff>114300</xdr:rowOff>
                  </from>
                  <to>
                    <xdr:col>1</xdr:col>
                    <xdr:colOff>400050</xdr:colOff>
                    <xdr:row>17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Макрос2">
                <anchor moveWithCells="1">
                  <from>
                    <xdr:col>1</xdr:col>
                    <xdr:colOff>19050</xdr:colOff>
                    <xdr:row>22</xdr:row>
                    <xdr:rowOff>9525</xdr:rowOff>
                  </from>
                  <to>
                    <xdr:col>2</xdr:col>
                    <xdr:colOff>28575</xdr:colOff>
                    <xdr:row>23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user</cp:lastModifiedBy>
  <dcterms:created xsi:type="dcterms:W3CDTF">2021-04-20T05:24:58Z</dcterms:created>
  <dcterms:modified xsi:type="dcterms:W3CDTF">2021-05-17T07:07:53Z</dcterms:modified>
</cp:coreProperties>
</file>